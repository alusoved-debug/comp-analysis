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package/2006/relationships/metadata/thumbnail" Target="docProps/thumbnail.wmf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O:\Quality Management\3195 הנדסת איכות ואמינות\PERSONAL FOLDERS\gidi mel\arrow5\SMAU\"/>
    </mc:Choice>
  </mc:AlternateContent>
  <xr:revisionPtr revIDLastSave="0" documentId="13_ncr:1_{4F3D0109-028A-4D91-87D0-F2B5A2F77EBA}" xr6:coauthVersionLast="47" xr6:coauthVersionMax="47" xr10:uidLastSave="{00000000-0000-0000-0000-000000000000}"/>
  <bookViews>
    <workbookView xWindow="29250" yWindow="0" windowWidth="27600" windowHeight="15300" xr2:uid="{00000000-000D-0000-FFFF-FFFF00000000}"/>
  </bookViews>
  <sheets>
    <sheet name="Components sum" sheetId="1" r:id="rId1"/>
  </sheets>
  <definedNames>
    <definedName name="_xlnm._FilterDatabase" localSheetId="0" hidden="1">'Components sum'!$A$1:$H$107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2" i="1"/>
  <c r="N102" i="1" l="1"/>
</calcChain>
</file>

<file path=xl/sharedStrings.xml><?xml version="1.0" encoding="utf-8"?>
<sst xmlns="http://schemas.openxmlformats.org/spreadsheetml/2006/main" count="1007" uniqueCount="673">
  <si>
    <t>Quan.</t>
  </si>
  <si>
    <t>Description</t>
  </si>
  <si>
    <t>Mfg</t>
  </si>
  <si>
    <t>Mfg Part No.</t>
  </si>
  <si>
    <t>Catalog</t>
  </si>
  <si>
    <t>Status No.</t>
  </si>
  <si>
    <t>Sap Status</t>
  </si>
  <si>
    <t>Data Sheet</t>
  </si>
  <si>
    <t>Mouser Part #</t>
  </si>
  <si>
    <t>Availability</t>
  </si>
  <si>
    <t>All Price Breaks</t>
  </si>
  <si>
    <t>Unit Price (USD)</t>
  </si>
  <si>
    <t>Ext. Price (USD)</t>
  </si>
  <si>
    <t>SMT CHIP JUMPER RESISTOR 0 Ohm,0.063W,T&amp;R</t>
  </si>
  <si>
    <t>VISHAY RESISTIVE SYSTEMS</t>
  </si>
  <si>
    <t>CRCW04020000ZSTD</t>
  </si>
  <si>
    <t>400249752</t>
  </si>
  <si>
    <t>2</t>
  </si>
  <si>
    <t>OK</t>
  </si>
  <si>
    <t>View datasheet</t>
  </si>
  <si>
    <t>71-CRCW0402-0</t>
  </si>
  <si>
    <t>Thick Film Resistors - SMD 1/16watt 0ohms</t>
  </si>
  <si>
    <t>118199 In Stock</t>
  </si>
  <si>
    <t>1: $0.10
10: $0.043
100: $0.037
250: $0.031
500: $0.028
1000: $0.025
5000: $0.02
10000: $0.016</t>
  </si>
  <si>
    <t>SMT CHIP RESISTOR 1 KOhm,1%,0.063W,T&amp;R</t>
  </si>
  <si>
    <t>CRCW04021K00FKTD</t>
  </si>
  <si>
    <t>400249781</t>
  </si>
  <si>
    <t>71-CRCW0402-1.0K</t>
  </si>
  <si>
    <t>Thick Film Resistors - SMD 1/16watt 1.0Kohms 1%</t>
  </si>
  <si>
    <t>94441 In Stock</t>
  </si>
  <si>
    <t>1: $0.18
10: $0.058
100: $0.047
250: $0.039
500: $0.035
1000: $0.031
5000: $0.025
10000: $0.021</t>
  </si>
  <si>
    <t>SMT CHIP RESISTOR 75 Ohm,1%,0.25W,T&amp;R</t>
  </si>
  <si>
    <t>VISHAY SEMICONDUCTOR</t>
  </si>
  <si>
    <t>CRCW120675R0FKTA</t>
  </si>
  <si>
    <t>400257678</t>
  </si>
  <si>
    <t>71-CRCW1206-75</t>
  </si>
  <si>
    <t>Thick Film Resistors - SMD 1/4watt 75ohms 1%</t>
  </si>
  <si>
    <t>10478 In Stock</t>
  </si>
  <si>
    <t>1: $0.16
10: $0.056
100: $0.048
250: $0.04
500: $0.035
1000: $0.031
5000: $0.023
10000: $0.021
25000: $0.02</t>
  </si>
  <si>
    <t>SMT CHIP RESISTOR 100 KOhm,1%,0.063W,T&amp;R</t>
  </si>
  <si>
    <t>CRCW0402100KFKTD</t>
  </si>
  <si>
    <t>400263980</t>
  </si>
  <si>
    <t>71-CRCW0402-100K</t>
  </si>
  <si>
    <t>Thick Film Resistors - SMD 1/16watt 100Kohms 1%</t>
  </si>
  <si>
    <t>5029 In Stock</t>
  </si>
  <si>
    <t>1: $0.18
10: $0.058
100: $0.05
250: $0.041
500: $0.037
1000: $0.033
5000: $0.025
10000: $0.021</t>
  </si>
  <si>
    <t>SMT CHIP RESISTOR 49.9 Ohm,1%,0.063W,T&amp;R</t>
  </si>
  <si>
    <t>CRCW040249R9FKTD</t>
  </si>
  <si>
    <t>400264010</t>
  </si>
  <si>
    <t>71-CRCW0402-49.9</t>
  </si>
  <si>
    <t>Thick Film Resistors - SMD 1/16watt 49.9ohms 1%</t>
  </si>
  <si>
    <t>113557 In Stock</t>
  </si>
  <si>
    <t>1: $0.17
10: $0.058
100: $0.053
250: $0.044
500: $0.04
1000: $0.037
5000: $0.025
10000: $0.025
20000: $0.022</t>
  </si>
  <si>
    <t>SMT CHIP RESISTOR 200 KOhm,1%,0.063W,T&amp;R</t>
  </si>
  <si>
    <t>CRCW0402200KFKTD</t>
  </si>
  <si>
    <t>400271557</t>
  </si>
  <si>
    <t>71-CRCW0402-200K</t>
  </si>
  <si>
    <t>Thick Film Resistors - SMD 1/16watt 200Kohms 1%</t>
  </si>
  <si>
    <t>13866 In Stock</t>
  </si>
  <si>
    <t>1: $0.17
10: $0.054
100: $0.046
250: $0.038
500: $0.034
1000: $0.03
5000: $0.024
10000: $0.02
20000: $0.019</t>
  </si>
  <si>
    <t>SMT CHIP RESISTOR 24.9 KOhm,1%,0.063W,T&amp;R</t>
  </si>
  <si>
    <t>CRCW040224K9FKTD</t>
  </si>
  <si>
    <t>400271619</t>
  </si>
  <si>
    <t>71-CRCW0402-24.9K</t>
  </si>
  <si>
    <t>Thick Film Resistors - SMD 1/16watt 24.9Kohms 1%</t>
  </si>
  <si>
    <t>21672 In Stock</t>
  </si>
  <si>
    <t>1: $0.17
10: $0.057
100: $0.049
250: $0.037
500: $0.033
1000: $0.032
5000: $0.025
10000: $0.021
20000: $0.02</t>
  </si>
  <si>
    <t>SMT CHIP RESISTOR 48.7 KOhm,1%,0.063W,T&amp;R</t>
  </si>
  <si>
    <t>VISHAY INTERTECHNOLOGY INC</t>
  </si>
  <si>
    <t>CRCW040248K7FKTD</t>
  </si>
  <si>
    <t>400271654</t>
  </si>
  <si>
    <t>71-CRCW040248K7FKTD</t>
  </si>
  <si>
    <t>Thick Film Resistors - SMD 48.7K OHM   1%</t>
  </si>
  <si>
    <t>17466 In Stock</t>
  </si>
  <si>
    <t>1: $0.21
10: $0.095
100: $0.053
250: $0.044
500: $0.04
1000: $0.037
5000: $0.025
10000: $0.023
30000: $0.022</t>
  </si>
  <si>
    <t>CHIP RESIS 56.2KOHM 1% .063W T&amp;R</t>
  </si>
  <si>
    <t>CRCW040256K2FKTD</t>
  </si>
  <si>
    <t>400271691</t>
  </si>
  <si>
    <t>71-CRCW0402-56.2K</t>
  </si>
  <si>
    <t>Thick Film Resistors - SMD 1/16watt 56.2Kohms 1%</t>
  </si>
  <si>
    <t>25131 In Stock</t>
  </si>
  <si>
    <t>1: $0.16
10: $0.05
100: $0.042
250: $0.035
500: $0.031
1000: $0.027
5000: $0.022
10000: $0.018</t>
  </si>
  <si>
    <t>SMT CHIP RESISTOR 402 Ohm,1%,0.063W,T&amp;R</t>
  </si>
  <si>
    <t>VISHAY DALE</t>
  </si>
  <si>
    <t>CRCW0402402RFKTD</t>
  </si>
  <si>
    <t>400274367</t>
  </si>
  <si>
    <t>71-CRCW0402-402</t>
  </si>
  <si>
    <t>Thick Film Resistors - SMD 1/16watt 402ohms 1%</t>
  </si>
  <si>
    <t>20673 In Stock</t>
  </si>
  <si>
    <t>1: $0.18
10: $0.058
100: $0.05
250: $0.041
500: $0.037
1000: $0.033
5000: $0.025
10000: $0.025
20000: $0.021</t>
  </si>
  <si>
    <t>SMT CHIP RESISTOR 40.2 KOhm,1%,0.063W,T&amp;R</t>
  </si>
  <si>
    <t>CRCW040240K2FKTD</t>
  </si>
  <si>
    <t>400274735</t>
  </si>
  <si>
    <t>71-CRCW0402-40.2K</t>
  </si>
  <si>
    <t>Thick Film Resistors - SMD 1/16watt 40.2Kohms 1%</t>
  </si>
  <si>
    <t>19503 In Stock</t>
  </si>
  <si>
    <t>1: $0.16
10: $0.05
100: $0.042
250: $0.035
500: $0.031
1000: $0.027
5000: $0.022
10000: $0.018
20000: $0.017</t>
  </si>
  <si>
    <t>CHIP RESIS 150 OHM 1% .063W T&amp;R</t>
  </si>
  <si>
    <t>CRCW0402150RFKTD</t>
  </si>
  <si>
    <t>400292418</t>
  </si>
  <si>
    <t>71-CRCW0402-150</t>
  </si>
  <si>
    <t>Thick Film Resistors - SMD 1/16watt 150ohms 1%</t>
  </si>
  <si>
    <t>17734 In Stock</t>
  </si>
  <si>
    <t>1: $0.18
10: $0.058
100: $0.05
250: $0.041
500: $0.036
1000: $0.033
5000: $0.025
10000: $0.025
20000: $0.021</t>
  </si>
  <si>
    <t>SMT CHIP RESISTOR 2.21 KOhm,1%,0.063W,T&amp;R</t>
  </si>
  <si>
    <t>CRCW04022K21FKTD</t>
  </si>
  <si>
    <t>400292470</t>
  </si>
  <si>
    <t>71-CRCW0402-2.21K</t>
  </si>
  <si>
    <t>Thick Film Resistors - SMD 1/16watt 2.21Kohms 1%</t>
  </si>
  <si>
    <t>34630 In Stock</t>
  </si>
  <si>
    <t>1: $0.21
10: $0.07
100: $0.053
250: $0.044
500: $0.04
1000: $0.037
5000: $0.029
10000: $0.025
20000: $0.024</t>
  </si>
  <si>
    <t>SMT CHIP RESISTOR 4.7 KOhm,1%,0.063W,T&amp;R</t>
  </si>
  <si>
    <t>CRCW04024K70FKTD</t>
  </si>
  <si>
    <t>400523371</t>
  </si>
  <si>
    <t>71-CRCW0402-4.7K</t>
  </si>
  <si>
    <t>Thick Film Resistors - SMD 1/16watt 4.7Kohms 1%</t>
  </si>
  <si>
    <t>54083 In Stock</t>
  </si>
  <si>
    <t>SMT CHIP RESISTOR 137 KOhm,1%,0.063W,T&amp;R</t>
  </si>
  <si>
    <t>CRCW0402137KFKTD</t>
  </si>
  <si>
    <t>400583186</t>
  </si>
  <si>
    <t>71-CRCW0402-137K</t>
  </si>
  <si>
    <t>Thick Film Resistors - SMD 1/16watt 137Kohms 1%</t>
  </si>
  <si>
    <t>21053 In Stock</t>
  </si>
  <si>
    <t>1: $0.17
10: $0.054
100: $0.047
250: $0.039
500: $0.034
1000: $0.03
5000: $0.025
10000: $0.02
20000: $0.019</t>
  </si>
  <si>
    <t>SMT CHIP CAPACITOR 10000pF,10%,50V,X7R,T&amp;R</t>
  </si>
  <si>
    <t>KEMET ELECTRONICS SA</t>
  </si>
  <si>
    <t>C0402C103K5RALTU</t>
  </si>
  <si>
    <t>400584360</t>
  </si>
  <si>
    <t>80-C0402C103K5RAL</t>
  </si>
  <si>
    <t>Multilayer Ceramic Capacitors MLCC - SMD/SMT 50V 0.01uF X7R 0402 10%</t>
  </si>
  <si>
    <t>47798 In Stock</t>
  </si>
  <si>
    <t>1: $0.33
10: $0.144
100: $0.128
500: $0.101
1000: $0.092
2500: $0.083
5000: $0.078
10000: $0.069
20000: $0.067</t>
  </si>
  <si>
    <t>CHIP CAP 0.1UF 10% 16V X7R T&amp;R</t>
  </si>
  <si>
    <t>MURATA</t>
  </si>
  <si>
    <t>GRM033Z71C104KE14D</t>
  </si>
  <si>
    <t>400606337</t>
  </si>
  <si>
    <t>81-GRM033Z71C104KE4D</t>
  </si>
  <si>
    <t>Multilayer Ceramic Capacitors MLCC - SMD/SMT 0.1 uF 16 VDC 10% 0201 X7R</t>
  </si>
  <si>
    <t>1: $0.10
10: $0.016
100: $0.014
500: $0.01
1000: $0.009
2500: $0.007
5000: $0.006
10000: $0.005
15000: $0.004</t>
  </si>
  <si>
    <t>SMT CHIP RESISTOR 10 KOhm,1%,0.063W,T&amp;R(Lead-Free)</t>
  </si>
  <si>
    <t>CRCW040210K0FKED</t>
  </si>
  <si>
    <t>400656755</t>
  </si>
  <si>
    <t>71-CRCW0402-10K-E3</t>
  </si>
  <si>
    <t>Thick Film Resistors - SMD 1/10 Watt 10Kohms 1%</t>
  </si>
  <si>
    <t>7866220 In Stock</t>
  </si>
  <si>
    <t>1: $0.10
10: $0.02
100: $0.016
250: $0.013
500: $0.011
1000: $0.009
5000: $0.007
10000: $0.005
20000: $0.004</t>
  </si>
  <si>
    <t>SMT CHIP RESISTOR 2 KOhm,1%,0.063W,T&amp;R(Lead-Free)</t>
  </si>
  <si>
    <t>CRCW04022K00FKED</t>
  </si>
  <si>
    <t>400658323</t>
  </si>
  <si>
    <t>71-CRCW0402-2.0K-E3</t>
  </si>
  <si>
    <t>Thick Film Resistors - SMD 1/10 Watt 2.0Kohms 1%</t>
  </si>
  <si>
    <t>521865 In Stock</t>
  </si>
  <si>
    <t>SMT CHIP RESISTOR 499 Ohm,1%,0.063W,T&amp;R(Lead-Free)</t>
  </si>
  <si>
    <t>CRCW0402499RFKED</t>
  </si>
  <si>
    <t>400658327</t>
  </si>
  <si>
    <t>71-CRCW0402-499-E3</t>
  </si>
  <si>
    <t>Thick Film Resistors - SMD 1/10 Watt 499ohms 1%</t>
  </si>
  <si>
    <t>118 In Stock</t>
  </si>
  <si>
    <t>1: $0.10
10: $0.019
100: $0.016
250: $0.013
500: $0.011
1000: $0.008
5000: $0.007
10000: $0.004</t>
  </si>
  <si>
    <t>SMT CHIP RESISTOR 49.9 KOhm,1%,0.063W,T&amp;R(Lead-Free)</t>
  </si>
  <si>
    <t>CRCW040249K9FKED</t>
  </si>
  <si>
    <t>400658328</t>
  </si>
  <si>
    <t>71-CRCW0402-49.9K-E3</t>
  </si>
  <si>
    <t>Thick Film Resistors - SMD 1/10 Watt 49.9Kohms 1%</t>
  </si>
  <si>
    <t>354272 In Stock</t>
  </si>
  <si>
    <t>1: $0.10
10: $0.02
100: $0.016
250: $0.013
500: $0.011
1000: $0.009
5000: $0.007
10000: $0.004</t>
  </si>
  <si>
    <t>SMT CHIP RESISTOR 42.2 KOhm,1%,0.063W,T&amp;R(Lead-Free)</t>
  </si>
  <si>
    <t>CRCW040242K2FKED</t>
  </si>
  <si>
    <t>400676831</t>
  </si>
  <si>
    <t>71-CRCW0402-42.2K-E3</t>
  </si>
  <si>
    <t>Thick Film Resistors - SMD 1/10 Watt 42.2Kohms 1%</t>
  </si>
  <si>
    <t>24570 In Stock</t>
  </si>
  <si>
    <t>SMT CHIP RESISTOR 6.19 KOhm,1%,0.063W,T&amp;R(Lead-Free)</t>
  </si>
  <si>
    <t>CRCW04026K19FKED</t>
  </si>
  <si>
    <t>400676833</t>
  </si>
  <si>
    <t>71-CRCW0402-6.19K-E3</t>
  </si>
  <si>
    <t>Thick Film Resistors - SMD 1/10 Watt 6.19Kohms 1%</t>
  </si>
  <si>
    <t>Resistor SMT, 3.01Kohm, 1%, 0.063W, 1x0.5mm Pb_Free</t>
  </si>
  <si>
    <t>CRCW04023K01FKED</t>
  </si>
  <si>
    <t>400693192</t>
  </si>
  <si>
    <t>71-CRCW0402-3.01K-E3</t>
  </si>
  <si>
    <t>Thick Film Resistors - SMD 1/10 Watt 3.01Kohms 1%</t>
  </si>
  <si>
    <t>37069 In Stock</t>
  </si>
  <si>
    <t>1: $0.11
10: $0.018
100: $0.014
250: $0.012
500: $0.01
1000: $0.009
5000: $0.008
10000: $0.004</t>
  </si>
  <si>
    <t>SMT CHIP RESISTOR 23.2 Kohm,1%,0.063W,T&amp;R</t>
  </si>
  <si>
    <t>CRCW040223K2FKTD</t>
  </si>
  <si>
    <t>400896287</t>
  </si>
  <si>
    <t>71-CRCW0402-23.2K</t>
  </si>
  <si>
    <t>Thick Film Resistors - SMD 1/16watt 23.2Kohms 1%</t>
  </si>
  <si>
    <t>20761 In Stock</t>
  </si>
  <si>
    <t>1: $0.16
10: $0.05
100: $0.042
250: $0.035
500: $0.031
1000: $0.027
5000: $0.026
10000: $0.024
20000: $0.021</t>
  </si>
  <si>
    <t>SMT CHIP RESISTOR 8.45 KOhm,1%,0.063W,T&amp;R</t>
  </si>
  <si>
    <t>CRCW04028K45FKTD</t>
  </si>
  <si>
    <t>400908748</t>
  </si>
  <si>
    <t>71-CRCW0402-8.45K</t>
  </si>
  <si>
    <t>Thick Film Resistors - SMD 1/16watt 8.45Kohms 1%</t>
  </si>
  <si>
    <t>13685 In Stock</t>
  </si>
  <si>
    <t>1: $0.21
10: $0.095
100: $0.053
250: $0.044
10000: $0.027
20000: $0.022</t>
  </si>
  <si>
    <t>SMT CHIP RESISTOR 10.7 Kohm,1%,0.063W,T&amp;R</t>
  </si>
  <si>
    <t>CRCW040210K7FKTD</t>
  </si>
  <si>
    <t>401033515</t>
  </si>
  <si>
    <t>71-CRCW0402-10.7K</t>
  </si>
  <si>
    <t>Thick Film Resistors - SMD 1/16watt 10.7Kohms 1%</t>
  </si>
  <si>
    <t>24943 In Stock</t>
  </si>
  <si>
    <t>SMT CHIP RESISTOR 130 KOhm,1%,0.063W,T&amp;R</t>
  </si>
  <si>
    <t>CRCW0402130KFKTD</t>
  </si>
  <si>
    <t>401033554</t>
  </si>
  <si>
    <t>71-CRCW0402-130K</t>
  </si>
  <si>
    <t>Thick Film Resistors - SMD 1/16watt 130Kohms 1%</t>
  </si>
  <si>
    <t>10241 In Stock</t>
  </si>
  <si>
    <t>SMT CHIP RESISTOR 150 KOhm,1%,0.063W,T&amp;R</t>
  </si>
  <si>
    <t>CRCW0402150KFKTD</t>
  </si>
  <si>
    <t>401033587</t>
  </si>
  <si>
    <t>71-CRCW0402-150K</t>
  </si>
  <si>
    <t>Thick Film Resistors - SMD 1/16watt 150Kohms 1%</t>
  </si>
  <si>
    <t>25521 In Stock</t>
  </si>
  <si>
    <t>1: $0.17
10: $0.056
100: $0.048
250: $0.04
500: $0.035
1000: $0.032
5000: $0.025
10000: $0.021</t>
  </si>
  <si>
    <t>SMT CHIP RESISTOR 69.8 KOhm,1%,0.063W,T&amp;R</t>
  </si>
  <si>
    <t>CRCW040269K8FKTD</t>
  </si>
  <si>
    <t>401033600</t>
  </si>
  <si>
    <t>71-CRCW0402-69.8K</t>
  </si>
  <si>
    <t>Thick Film Resistors - SMD 1/16watt 69.8Kohms 1%</t>
  </si>
  <si>
    <t>5596 In Stock</t>
  </si>
  <si>
    <t>CHIP RESIS 80.6KOHM 1^ .063W T&amp;R</t>
  </si>
  <si>
    <t>CRCW040280K6FKTD</t>
  </si>
  <si>
    <t>401033665</t>
  </si>
  <si>
    <t>71-CRCW0402-80.6K</t>
  </si>
  <si>
    <t>Thick Film Resistors - SMD 1/16watt 80.6Kohms 1%</t>
  </si>
  <si>
    <t>26415 In Stock</t>
  </si>
  <si>
    <t>1: $0.16
10: $0.05
100: $0.042
250: $0.035
500: $0.031
1000: $0.027
5000: $0.024
10000: $0.024</t>
  </si>
  <si>
    <t>SMT CHIP RESISTOR 20.5 KOhm,1%,0.063W,T&amp;R</t>
  </si>
  <si>
    <t>CRCW040220K5FKTD</t>
  </si>
  <si>
    <t>401033734</t>
  </si>
  <si>
    <t>71-CRCW0402-20.5K</t>
  </si>
  <si>
    <t>Thick Film Resistors - SMD 1/16watt 20.5Kohms 1%</t>
  </si>
  <si>
    <t>23459 In Stock</t>
  </si>
  <si>
    <t>1: $0.16
10: $0.05
100: $0.042
250: $0.035
500: $0.031
1000: $0.027
5000: $0.024
10000: $0.024
20000: $0.021</t>
  </si>
  <si>
    <t>CHIP RESIS 44.2KOHM 1% .063W T&amp;R</t>
  </si>
  <si>
    <t>CRCW040244K2FKTD</t>
  </si>
  <si>
    <t>401033965</t>
  </si>
  <si>
    <t>71-CRCW0402-44.2K</t>
  </si>
  <si>
    <t>Thick Film Resistors - SMD 1/16watt 44.2Kohms 1%</t>
  </si>
  <si>
    <t>14428 In Stock</t>
  </si>
  <si>
    <t>SMT CHIP RESISTOR 4.87 KOhm,1%,0.063W,T&amp;R</t>
  </si>
  <si>
    <t>CRCW04024K87FKTD</t>
  </si>
  <si>
    <t>401033991</t>
  </si>
  <si>
    <t>71-CRCW0402-4.87K</t>
  </si>
  <si>
    <t>Thick Film Resistors - SMD 1/16watt 4.87Kohms 1%</t>
  </si>
  <si>
    <t>18501 In Stock</t>
  </si>
  <si>
    <t>CHIP RESIS 33.2 OHM 1% .063W T/R</t>
  </si>
  <si>
    <t>CRCW040233R2FKED</t>
  </si>
  <si>
    <t>401041455</t>
  </si>
  <si>
    <t>71-CRCW0402-33.2-E3</t>
  </si>
  <si>
    <t>Thick Film Resistors - SMD 1/10 Watt 33.2ohms 1%</t>
  </si>
  <si>
    <t>384494 In Stock</t>
  </si>
  <si>
    <t>CHIP RESIS 18.0 KOHM 0.1% 0.063W T&amp;R</t>
  </si>
  <si>
    <t>TNPW040218K0BETD</t>
  </si>
  <si>
    <t>401205222</t>
  </si>
  <si>
    <t>71-TNPW040218K0BETD</t>
  </si>
  <si>
    <t>Thin Film Resistors - SMD TNPW-0402 18K 0.1% T-9 RT7</t>
  </si>
  <si>
    <t>None</t>
  </si>
  <si>
    <t>1: $0.83
10: $0.591
100: $0.40
500: $0.342
1000: $0.329
2500: $0.314
5000: $0.297
10000: $0.275</t>
  </si>
  <si>
    <t>CHIP RESIS 59.7 KOHM 0.1% 0.063W T&amp;R</t>
  </si>
  <si>
    <t>TNPW040259K7BETD</t>
  </si>
  <si>
    <t>401205606</t>
  </si>
  <si>
    <t>594-TNPW040259K7BETD</t>
  </si>
  <si>
    <t>Thin Film Resistors - SMD TNPW0402 1K5 0.1% T-10 ET7 E3</t>
  </si>
  <si>
    <t>10000: $0.287
30000: $0.274</t>
  </si>
  <si>
    <t>SMT CHIP RESISTOR 4.75 KOhm,1%,0.063W,T&amp;R(Lead-Free)</t>
  </si>
  <si>
    <t>CRCW04024K75FKED</t>
  </si>
  <si>
    <t>401308902</t>
  </si>
  <si>
    <t>71-CRCW0402-4.75K-E3</t>
  </si>
  <si>
    <t>Thick Film Resistors - SMD 1/10 Watt 4.75Kohms 1%</t>
  </si>
  <si>
    <t>858340 In Stock</t>
  </si>
  <si>
    <t>SMT CHIP CAPACITOR 1000pF,10%,100V,COG,T&amp;R</t>
  </si>
  <si>
    <t>C0402C102K1GALTU</t>
  </si>
  <si>
    <t>401368812</t>
  </si>
  <si>
    <t>80-C0402C102K1GALTU</t>
  </si>
  <si>
    <t>Multilayer Ceramic Capacitors MLCC - SMD/SMT 100V 1000pF C0G 0402 10%</t>
  </si>
  <si>
    <t>1: $0.65
10: $0.432
100: $0.269
500: $0.217
1000: $0.199
2500: $0.184
5000: $0.164
10000: $0.132</t>
  </si>
  <si>
    <t>Resistor 1.96 Kohm, 1%, 0.063W, T&amp;R</t>
  </si>
  <si>
    <t>CRCW04021K96FKED</t>
  </si>
  <si>
    <t>401447385</t>
  </si>
  <si>
    <t>71-CRCW0402-1.96K-E3</t>
  </si>
  <si>
    <t>Thick Film Resistors - SMD 1/10 Watt 1.96Kohms 1%</t>
  </si>
  <si>
    <t>23190 In Stock</t>
  </si>
  <si>
    <t>CHIP RESISTOR 71.5KOHM 1% .063W T&amp;R</t>
  </si>
  <si>
    <t>CRCW040271K5FKED</t>
  </si>
  <si>
    <t>401461281</t>
  </si>
  <si>
    <t>71-CRCW0402-71.5K-E3</t>
  </si>
  <si>
    <t>Thick Film Resistors - SMD 1/10 Watt 71.5Kohms 1%</t>
  </si>
  <si>
    <t>96519 In Stock</t>
  </si>
  <si>
    <t>CHIP RESIS 11KOHM 1^ .063W T&amp;R</t>
  </si>
  <si>
    <t>CRCW040211K0FKED</t>
  </si>
  <si>
    <t>401479709</t>
  </si>
  <si>
    <t>71-CRCW0402-11K-E3</t>
  </si>
  <si>
    <t>Thick Film Resistors - SMD 1/10 Watt 11Kohms 1%</t>
  </si>
  <si>
    <t>64290 In Stock</t>
  </si>
  <si>
    <t>SMT CHIP CAPACITOR HIGH-VOLTAGE 1000pF,10%,2000V,X7R,T&amp;R(Lead-Free)</t>
  </si>
  <si>
    <t>C1206C102KGRACTU</t>
  </si>
  <si>
    <t>401485030</t>
  </si>
  <si>
    <t>80-C1206C102KGR</t>
  </si>
  <si>
    <t>Multilayer Ceramic Capacitors MLCC - SMD/SMT 2kV 1000pF X7R 1206 10%</t>
  </si>
  <si>
    <t>149286 In Stock</t>
  </si>
  <si>
    <t>1: $0.27
10: $0.16
100: $0.094
500: $0.088
2500: $0.088
5000: $0.086</t>
  </si>
  <si>
    <t>CHIP CAP 220PF 2% 50V COG T&amp;R</t>
  </si>
  <si>
    <t>KMT</t>
  </si>
  <si>
    <t>C0402C221G5GACTU</t>
  </si>
  <si>
    <t>401497189</t>
  </si>
  <si>
    <t>Network error</t>
  </si>
  <si>
    <t>SMT CHIP CAPACITOR 100pF,2%,100V,C0G,T&amp;R(Lead-Free)</t>
  </si>
  <si>
    <t>C0402C101G1GACTU</t>
  </si>
  <si>
    <t>401538760</t>
  </si>
  <si>
    <t>80-C0402C101G1G</t>
  </si>
  <si>
    <t>Multilayer Ceramic Capacitors MLCC - SMD/SMT 100V 100pF C0G 0402 2%</t>
  </si>
  <si>
    <t>13797 In Stock</t>
  </si>
  <si>
    <t>1: $0.95
10: $0.466
100: $0.425
500: $0.354
1000: $0.332
2500: $0.309
5000: $0.295
10000: $0.274
20000: $0.269</t>
  </si>
  <si>
    <t>CHIP CAP 4700PF 10% 100V X7R T&amp;R</t>
  </si>
  <si>
    <t>KEMET</t>
  </si>
  <si>
    <t>C0603C472K1RACTU</t>
  </si>
  <si>
    <t>401538961</t>
  </si>
  <si>
    <t>80-C0603C472K1R</t>
  </si>
  <si>
    <t>Multilayer Ceramic Capacitors MLCC - SMD/SMT 100V 4700pF X7R 0603 10%</t>
  </si>
  <si>
    <t>6650 In Stock</t>
  </si>
  <si>
    <t>1: $0.25
10: $0.127
100: $0.094
500: $0.08
1000: $0.073
4000: $0.063</t>
  </si>
  <si>
    <t>SMT CHIP CAPACITOR 10uF,10%,25V,X7R,T&amp;R(Lead-Frre)</t>
  </si>
  <si>
    <t>C1206C106K3RACTU</t>
  </si>
  <si>
    <t>401561416</t>
  </si>
  <si>
    <t>80-C1206C106K3R</t>
  </si>
  <si>
    <t>Multilayer Ceramic Capacitors MLCC - SMD/SMT 25V 10uF X7R 1206 10%</t>
  </si>
  <si>
    <t>820 In Stock</t>
  </si>
  <si>
    <t>1: $1.33
10: $0.687
100: $0.63
500: $0.535
1000: $0.285
2000: $0.224</t>
  </si>
  <si>
    <t>3.3V RS485 TRANSCEIVER WITH INTEGRATED T</t>
  </si>
  <si>
    <t>LINEAR (Analog Devices)</t>
  </si>
  <si>
    <t>LTC2855HDE#PBF</t>
  </si>
  <si>
    <t>402877984</t>
  </si>
  <si>
    <t>584-LTC2855HDE#PBF</t>
  </si>
  <si>
    <t>RS-422/RS-485 Interface IC 3.3V 20Mbps RS485/RS422 Tran w/ Int Swit</t>
  </si>
  <si>
    <t>1650 In Stock</t>
  </si>
  <si>
    <t>1: $7.53
10: $5.82
25: $4.94
91: $4.75
273: $4.60
546: $4.53
1001: $4.42
2548: $4.32</t>
  </si>
  <si>
    <t>SMT ULTRA LOW CAPACITANCE TRANSIENT VOLTAGE SUPPRESSOR BIDIRECTIONAL 80W,T&amp;R</t>
  </si>
  <si>
    <t>SEMTECH CORPORATION</t>
  </si>
  <si>
    <t>RCLAMP0531T.TCT</t>
  </si>
  <si>
    <t>403633822</t>
  </si>
  <si>
    <t>947-RCLAMP0531T.TCT</t>
  </si>
  <si>
    <t>ESD Protection Diodes / TVS Diodes LOW CAP AND ESD CLAMP 1 LINE</t>
  </si>
  <si>
    <t>7256 In Stock</t>
  </si>
  <si>
    <t>1: $1.34
10: $0.838
100: $0.573
500: $0.463
1000: $0.429
3000: $0.362
9000: $0.355</t>
  </si>
  <si>
    <t>SMT TRANSFORMER 10/100BASE-TX SINGLE-PORT (Lead-Free)</t>
  </si>
  <si>
    <t>INRCORE</t>
  </si>
  <si>
    <t>100B-1003XNL</t>
  </si>
  <si>
    <t>403769683</t>
  </si>
  <si>
    <t>673-100B-1003XNL</t>
  </si>
  <si>
    <t>Audio Transformers / Signal Transformers EXTMP XFMR 100BT SMG COM PBC</t>
  </si>
  <si>
    <t>1: $23.48
10: $21.15
25: $19.84
40: $19.20
120: $18.84
280: $18.11
520: $17.60</t>
  </si>
  <si>
    <t>CHIP CAP 0.1UF 10% 25VOLT 40X20 X7R T&amp;R</t>
  </si>
  <si>
    <t>KYOCERA AVX Corporation</t>
  </si>
  <si>
    <t>04023C104KAT2A</t>
  </si>
  <si>
    <t>404139444</t>
  </si>
  <si>
    <t>581-04023C104KAT2A</t>
  </si>
  <si>
    <t>Multilayer Ceramic Capacitors MLCC - SMD/SMT KGM05AR71E104KH NEW GLOBAL PN 25V 0.1uF A 581-KGM05AR71E104KH</t>
  </si>
  <si>
    <t>358072 In Stock</t>
  </si>
  <si>
    <t>1: $0.15
10: $0.054
100: $0.03
500: $0.02
1000: $0.015
2500: $0.009
5000: $0.008
10000: $0.005</t>
  </si>
  <si>
    <t>LED BLUE 0402 SMD</t>
  </si>
  <si>
    <t>VLMB1500-GS08</t>
  </si>
  <si>
    <t>404603537</t>
  </si>
  <si>
    <t>78-VLMB1500-GS08</t>
  </si>
  <si>
    <t>Single Colour LEDs 0402 BLUE Non-Diff</t>
  </si>
  <si>
    <t>1: $0.29
10: $0.199
100: $0.138
500: $0.113
1000: $0.105
2500: $0.093
5000: $0.084
9000: $0.078
18000: $0.072</t>
  </si>
  <si>
    <t>CHIP CAP 0.1UF 10% 100V X7R T&amp;R</t>
  </si>
  <si>
    <t>AVX</t>
  </si>
  <si>
    <t>06031C104K4T2A</t>
  </si>
  <si>
    <t>404943848</t>
  </si>
  <si>
    <t>581-06031C104K4T2A</t>
  </si>
  <si>
    <t>Multilayer Ceramic Capacitors MLCC - SMD/SMT KAM15BR72A104KT NW G LOB PN 100V 0.1uF X7 A 581-KAM15BR72A104KT</t>
  </si>
  <si>
    <t>40131 In Stock</t>
  </si>
  <si>
    <t>1: $0.35
10: $0.153
100: $0.136
500: $0.107
1000: $0.099
4000: $0.076
8000: $0.074</t>
  </si>
  <si>
    <t>DIODE TVS , 440W, 5.5V Bidirectional</t>
  </si>
  <si>
    <t>DIODES INC</t>
  </si>
  <si>
    <t>D5V0S1B2LP</t>
  </si>
  <si>
    <t>405366755</t>
  </si>
  <si>
    <t>N/A</t>
  </si>
  <si>
    <t>ESD Protection Diodes / TVS Diodes</t>
  </si>
  <si>
    <t>CHIP COMMON MODE CHOKE COIL 390OHM 300MA</t>
  </si>
  <si>
    <t>MURATA POWER SOLUTIONS INC</t>
  </si>
  <si>
    <t>DLW21SH391XQ2L</t>
  </si>
  <si>
    <t>405535810</t>
  </si>
  <si>
    <t>81-DLW21SH391XQ2L</t>
  </si>
  <si>
    <t>Common Mode Chokes / Filters CMC SMD 390ohm 300mA POWRTRN</t>
  </si>
  <si>
    <t>1798 In Stock</t>
  </si>
  <si>
    <t>1: $0.55
10: $0.452
25: $0.395
100: $0.372
250: $0.345
500: $0.336
1000: $0.317
2000: $0.296
4000: $0.273</t>
  </si>
  <si>
    <t>IC DC/DC STEP DOWN REGULATOR 8A 20V</t>
  </si>
  <si>
    <t>ANALOG DEVICES</t>
  </si>
  <si>
    <t>LTM4657IY</t>
  </si>
  <si>
    <t>406617188</t>
  </si>
  <si>
    <t>584-LTM4657IY</t>
  </si>
  <si>
    <t>Switching Voltage Regulators 20VIN, 8A Step-Down DC/DC  Module Regulator</t>
  </si>
  <si>
    <t>347 In Stock</t>
  </si>
  <si>
    <t>1: $31.42
10: $25.41
25: $23.91
100: $22.26
260: $21.45
520: $21.35</t>
  </si>
  <si>
    <t>OSC 25.0 MHz -40 to +105</t>
  </si>
  <si>
    <t>CTS</t>
  </si>
  <si>
    <t>625L3G25M00000</t>
  </si>
  <si>
    <t>407343992</t>
  </si>
  <si>
    <t>Not found</t>
  </si>
  <si>
    <t>CHIP RESISTOR 34.8 Kohm 1% 0.063W T&amp;R</t>
  </si>
  <si>
    <t>CRCW040234K8FKED</t>
  </si>
  <si>
    <t>407637946</t>
  </si>
  <si>
    <t>71-CRCW0402-34.8K-E3</t>
  </si>
  <si>
    <t>Thick Film Resistors - SMD 1/10 Watt 34.8Kohms 1%</t>
  </si>
  <si>
    <t>20801 In Stock</t>
  </si>
  <si>
    <t>CHIP RESIS 1KOHM 1% .75W 1206 HP</t>
  </si>
  <si>
    <t>CRCW12061K00FKEAHP</t>
  </si>
  <si>
    <t>408391470</t>
  </si>
  <si>
    <t>71-CRCW12061K00FKEAH</t>
  </si>
  <si>
    <t>Thick Film Resistors - SMD 3/4watt 1Kohms 1% High Power AEC-Q200</t>
  </si>
  <si>
    <t>20487 In Stock</t>
  </si>
  <si>
    <t>1: $0.25
10: $0.089
100: $0.075
250: $0.064
500: $0.059
1000: $0.054
5000: $0.041
10000: $0.038</t>
  </si>
  <si>
    <t>CHIP EMI FILTER FERRITE BEAD 120 Ohm,25%,1100mA,T&amp;R(Lead-Free)</t>
  </si>
  <si>
    <t>MURATA MANUFACTURING CO. LTD</t>
  </si>
  <si>
    <t>BLM15PX121SN1D</t>
  </si>
  <si>
    <t>409387689</t>
  </si>
  <si>
    <t>81-BLM15PX121SN1D</t>
  </si>
  <si>
    <t>Ferrite Beads 120 OHM 25% Alternate Sizing Guide Below</t>
  </si>
  <si>
    <t>748313 In Stock</t>
  </si>
  <si>
    <t>1: $0.10
10: $0.07
25: $0.055
100: $0.049
250: $0.043
500: $0.038
1000: $0.033
5000: $0.025
10000: $0.021</t>
  </si>
  <si>
    <t>SMT CHIP EMI FILTER FERRITE BEAD 220 Ohm,25%,2.2A,T&amp;R(Lead-Free)</t>
  </si>
  <si>
    <t>BLM18KG221SN1D</t>
  </si>
  <si>
    <t>409387693</t>
  </si>
  <si>
    <t>81-BLM18KG221SN1D</t>
  </si>
  <si>
    <t>Ferrite Beads 220 OHM 25% Alternate Sizing Guide Below</t>
  </si>
  <si>
    <t>291277 In Stock</t>
  </si>
  <si>
    <t>1: $0.10
10: $0.061
25: $0.048
100: $0.043
250: $0.037
500: $0.033
1000: $0.029
4000: $0.021
8000: $0.02</t>
  </si>
  <si>
    <t>SMT CHIP CAPACITOR1uF,10%,50V,X7R,T&amp;R(Lead-Free)</t>
  </si>
  <si>
    <t>06035C105KAT2A</t>
  </si>
  <si>
    <t>409399561</t>
  </si>
  <si>
    <t>581-06035C105KAT2A</t>
  </si>
  <si>
    <t>Multilayer Ceramic Capacitors MLCC - SMD/SMT 50V 1uF X7R 0603 10%</t>
  </si>
  <si>
    <t>470560 In Stock</t>
  </si>
  <si>
    <t>1: $0.47
10: $0.218
100: $0.195
500: $0.157
1000: $0.145
4000: $0.136</t>
  </si>
  <si>
    <t>SINGLE 2 INPUT POSITIVE AND GATE</t>
  </si>
  <si>
    <t>TEXAS</t>
  </si>
  <si>
    <t>SN74LVC1G08QDRYRQ1</t>
  </si>
  <si>
    <t>410161673</t>
  </si>
  <si>
    <t>595-74LVC1G08QDRYRQ1</t>
  </si>
  <si>
    <t>Logic Gates Automotive 1-ch 2- i nput 1.65-V to 5.5-</t>
  </si>
  <si>
    <t>8278 In Stock</t>
  </si>
  <si>
    <t>1: $0.35
10: $0.244
25: $0.217
100: $0.188
250: $0.173
500: $0.165
5000: $0.165</t>
  </si>
  <si>
    <t>SMT HCMOS CRYSTAL TCXO 40 MHz,3.3V,+/-0.28 ppm(Lead-Free)</t>
  </si>
  <si>
    <t>536EL400X2GT5</t>
  </si>
  <si>
    <t>410398201</t>
  </si>
  <si>
    <t>774-536EL400X2GT5</t>
  </si>
  <si>
    <t>TCXO Oscillators 5.0mm x 3.2mm Surface Mount HCMOS TCXO, 40.000000MHz, +3.3V,  0.28ppm Stability, -40/+105 C, Output Enable, 500/reel</t>
  </si>
  <si>
    <t>500: $25.48</t>
  </si>
  <si>
    <t>SMT CHIP CAPACITOR 10uF,10%,10V,X7R,T&amp;R(Lead-Free)</t>
  </si>
  <si>
    <t>GRM188Z71A106KA73D</t>
  </si>
  <si>
    <t>410406023</t>
  </si>
  <si>
    <t>81-GRM188Z71A106KA3D</t>
  </si>
  <si>
    <t>Multilayer Ceramic Capacitors MLCC - SMD/SMT 10 uF 10 VDC 10% 0603 X7R</t>
  </si>
  <si>
    <t>1207079 In Stock</t>
  </si>
  <si>
    <t>1: $0.25
10: $0.107
100: $0.094
500: $0.073
1000: $0.066
4000: $0.05</t>
  </si>
  <si>
    <t>SMT 10/100 Mbps ETHERNET PHYSICAL LAYER TRANSCEIVER(Lead-Free)</t>
  </si>
  <si>
    <t>TEXAS INSTRUMENTS INC</t>
  </si>
  <si>
    <t>DP83822HRHBR</t>
  </si>
  <si>
    <t>411989466</t>
  </si>
  <si>
    <t>595-DP83822HRHBR</t>
  </si>
  <si>
    <t>Ethernet ICs Extended temperature robust low-power 1 A 595-DP83822HRHBT</t>
  </si>
  <si>
    <t>48 In Stock</t>
  </si>
  <si>
    <t>1: $5.11
10: $3.89
25: $3.58
100: $3.25
250: $3.09
500: $2.99
1000: $2.95
3000: $2.92</t>
  </si>
  <si>
    <t>SMT CHIP CAPACITOR 22uF,10%,10V,X7R,T&amp;R(Lead-Free)</t>
  </si>
  <si>
    <t>C1206C226K8RACTU</t>
  </si>
  <si>
    <t>412216090</t>
  </si>
  <si>
    <t>80-C1206C226K8R</t>
  </si>
  <si>
    <t>Multilayer Ceramic Capacitors MLCC - SMD/SMT 10Vol 22uF X7R 1206  10%</t>
  </si>
  <si>
    <t>23440 In Stock</t>
  </si>
  <si>
    <t>1: $2.09
10: $1.15
100: $1.06
500: $0.918
1000: $0.874
2000: $0.838</t>
  </si>
  <si>
    <t xml:space="preserve"> SERIAL NOR FLASH  1GB 1.8V</t>
  </si>
  <si>
    <t>MICRON TECHNOLOGY</t>
  </si>
  <si>
    <t>MT25QU01GBBB8E12-0AUT</t>
  </si>
  <si>
    <t>413720022</t>
  </si>
  <si>
    <t>340-351172-TRAY</t>
  </si>
  <si>
    <t>NOR Flash SPI 1Gbit 4 1.8 Volts 24/25 TBGA 2 AL</t>
  </si>
  <si>
    <t>CHIP CAP CER 1UF 10% 10V X7R 0402 T&amp;R</t>
  </si>
  <si>
    <t>YAGEO</t>
  </si>
  <si>
    <t>CC0402KRX7R6BB105</t>
  </si>
  <si>
    <t>414011087</t>
  </si>
  <si>
    <t>CHIP CAP 47UF 20^ 10V X7R T&amp;R</t>
  </si>
  <si>
    <t>GRM32ER71A476ME15L</t>
  </si>
  <si>
    <t>414442861</t>
  </si>
  <si>
    <t>81-GRM32ER71A476ME5L</t>
  </si>
  <si>
    <t>Multilayer Ceramic Capacitors MLCC - SMD/SMT 47 uF 10 VDC 20% 1210 X7R</t>
  </si>
  <si>
    <t>1: $0.88
10: $0.433
100: $0.394
500: $0.327
1000: $0.28
2000: $0.272</t>
  </si>
  <si>
    <t>CHIP RESIS 499 OHM 0.1^ 0.063W T&amp;R</t>
  </si>
  <si>
    <t>TNPW0402499RBEED</t>
  </si>
  <si>
    <t>414572334</t>
  </si>
  <si>
    <t>71-TNPW0402499RBEED</t>
  </si>
  <si>
    <t>Thin Film Resistors - SMD 499ohms .1% 25ppm</t>
  </si>
  <si>
    <t>29812 In Stock</t>
  </si>
  <si>
    <t>1: $0.26
10: $0.192
100: $0.182
250: $0.169
500: $0.16
1000: $0.152
5000: $0.137
10000: $0.133
20000: $0.123</t>
  </si>
  <si>
    <t>TDA4VEN PROCESSOR 18X18MM 594FCBGA</t>
  </si>
  <si>
    <t>TDA4VEN8K5AAMWRQ1</t>
  </si>
  <si>
    <t>416670434</t>
  </si>
  <si>
    <t>595-TDA4VEN8K5AAMRQ1</t>
  </si>
  <si>
    <t>Microprocessors - MPU Automotive ADAS SoC with AI graphics a</t>
  </si>
  <si>
    <t>500: $76.36</t>
  </si>
  <si>
    <t>AGILEX5 E FPGA NO HPS 656K 23X23MM VPBGA839 LOWEST</t>
  </si>
  <si>
    <t>TECNOLOGICA COMPONENTS ELECTR</t>
  </si>
  <si>
    <t>A5EC065BB23AI6X</t>
  </si>
  <si>
    <t>416670436</t>
  </si>
  <si>
    <t>989-A5EC065BB23AI6X</t>
  </si>
  <si>
    <t>SoC FPGA</t>
  </si>
  <si>
    <t>60: $1,055.56</t>
  </si>
  <si>
    <t>Connector PCI Express PCIe M2 Connector 0.5mm Pitc</t>
  </si>
  <si>
    <t>AMPHENOL</t>
  </si>
  <si>
    <t>MDT275M01001</t>
  </si>
  <si>
    <t>416938125</t>
  </si>
  <si>
    <t>523-MDT275M01001</t>
  </si>
  <si>
    <t>PCI Express/PCI Connectors PCIe M2 ConnectorP=05mm  H=275mm  Key M 30&amp;mu;in Au Plating</t>
  </si>
  <si>
    <t>593 In Stock</t>
  </si>
  <si>
    <t>1: $2.42
10: $2.06
25: $1.84
100: $1.75
250: $1.64
500: $1.49
1000: $1.41
2500: $1.39
4750: $1.39</t>
  </si>
  <si>
    <t>LPDDR4 SDRAM 2GB(16Gb) AUTOMOTIVE ULTRA TFBGA200</t>
  </si>
  <si>
    <t>MT53E512M32D1ZW-046AUT:B</t>
  </si>
  <si>
    <t>416938179</t>
  </si>
  <si>
    <t>340-578553-TRAY</t>
  </si>
  <si>
    <t>DRAM LPDDR4 16Gbit 32 200/264 TFBGA 1 UT</t>
  </si>
  <si>
    <t>DC/DC 20VIN 20A STEP-DOWN REGULATOR BGA49</t>
  </si>
  <si>
    <t>LTM4640IY#PBF</t>
  </si>
  <si>
    <t>416938180</t>
  </si>
  <si>
    <t>584-LTM4640IY#PBF</t>
  </si>
  <si>
    <t>Switching Voltage Regulators High Density Quad Output Module</t>
  </si>
  <si>
    <t>1: $36.44
10: $29.51
25: $27.77
100: $27.21
260: $26.60</t>
  </si>
  <si>
    <t>16VIN 4A SILENT SWITCHER REGULATOR BGA28</t>
  </si>
  <si>
    <t>LTM4732IY#PBF</t>
  </si>
  <si>
    <t>417033083</t>
  </si>
  <si>
    <t>584-LTM4732IYPBF</t>
  </si>
  <si>
    <t>Switching Voltage Regulators 16VIN, 4A Ultralow Noise Silent Switcher</t>
  </si>
  <si>
    <t>1: $16.79
10: $13.31
25: $12.44
100: $11.48
250: $10.95
490: $10.76</t>
  </si>
  <si>
    <t>20V 1A ULTRA LOW NOISE-PSRR LINEAR REGULATOR DFN14</t>
  </si>
  <si>
    <t>LT3041ADE#PBF</t>
  </si>
  <si>
    <t>417033085</t>
  </si>
  <si>
    <t>584-LT3041ADE#PBF</t>
  </si>
  <si>
    <t>LDO Voltage Regulators 20V, 1A, L-NOISE, H-PSRR Lnr Reg.w/VIOC</t>
  </si>
  <si>
    <t>1: $9.75
10: $7.59
25: $7.06
100: $6.46
250: $6.02
490: $5.86
980: $5.79</t>
  </si>
  <si>
    <t>NOR FLASH OSPI 2Gbit 1.8V AUTOMOTIVE TBGA24</t>
  </si>
  <si>
    <t>MT35XU02GCBA1G12-A0AUT</t>
  </si>
  <si>
    <t>417076602</t>
  </si>
  <si>
    <t>340-U02GCBA1G12A0AUT</t>
  </si>
  <si>
    <t>NOR Flash SPI 2Gbit 8 1.8 Volts 24/25 TBGA 4 AL</t>
  </si>
  <si>
    <t>ETHERNET SWITCH 5 PORTS WITH 4X 100BASE-T1 PHY VQF</t>
  </si>
  <si>
    <t>MICROCHIP</t>
  </si>
  <si>
    <t>LAN9370-V/KCXVAO</t>
  </si>
  <si>
    <t>417208292</t>
  </si>
  <si>
    <t>Ethernet ICs</t>
  </si>
  <si>
    <t>HCMOS CLOCK OSCILLATOR 1.8V 25MHZ 50PPM -40 +105</t>
  </si>
  <si>
    <t>CTS CORPORATION</t>
  </si>
  <si>
    <t>625M3G025M00000</t>
  </si>
  <si>
    <t>417379707</t>
  </si>
  <si>
    <t>LPDDR4 SDRAM 4GB(32Gb) AUTOMOTIVE TFBGA200</t>
  </si>
  <si>
    <t>MT53E1G32D2FW-046AAT:C</t>
  </si>
  <si>
    <t>417396677</t>
  </si>
  <si>
    <t>340-677368-TRAY</t>
  </si>
  <si>
    <t>DRAM LPDDR4 32Gbit 32 200/264 TFBGA 2 AT</t>
  </si>
  <si>
    <t>CAP EMI FILTER 3TERM 1UF 4V 0402 20% TR</t>
  </si>
  <si>
    <t>NFM15HC105D0G3D</t>
  </si>
  <si>
    <t>417481733</t>
  </si>
  <si>
    <t>81-NFM15HC105D0G3D</t>
  </si>
  <si>
    <t>Feed Through Capacitors 1.0  UF 4.0V</t>
  </si>
  <si>
    <t>254990 In Stock</t>
  </si>
  <si>
    <t>1: $0.25
10: $0.102
100: $0.088
500: $0.068
1000: $0.062
2500: $0.055
5000: $0.051
10000: $0.048
20000: $0.044</t>
  </si>
  <si>
    <t>SINGLE GMSL2 TO MIPI CSI-2 DESERIALIZER TQFN32</t>
  </si>
  <si>
    <t>MAX96714GTJ/VY+T</t>
  </si>
  <si>
    <t>417625596</t>
  </si>
  <si>
    <t>700-MAX96714GTJ/VY+T</t>
  </si>
  <si>
    <t>Serializers &amp; Deserializers - Serdes Single GMSL 2/1, CSI-2 Des, ASIL-B, 6G</t>
  </si>
  <si>
    <t>1988 In Stock</t>
  </si>
  <si>
    <t>1: $13.95
10: $11.00
25: $10.26
100: $9.49
250: $9.43
500: $8.96
1000: $8.67
2500: $8.45</t>
  </si>
  <si>
    <t>FILTER EMI MLC 10UF 20% 4V 2A 0603</t>
  </si>
  <si>
    <t>NFM18HC106D0G3L</t>
  </si>
  <si>
    <t>417812944</t>
  </si>
  <si>
    <t>81-NFM18HC106D0G3L</t>
  </si>
  <si>
    <t>Feed Through Capacitors 10   UF  20%  4V</t>
  </si>
  <si>
    <t>37296 In Stock</t>
  </si>
  <si>
    <t>1: $0.49
10: $0.224
100: $0.201
500: $0.16
1000: $0.148
3000: $0.131
6000: $0.124
9000: $0.113
24000: $0.112</t>
  </si>
  <si>
    <t>SMT MICRO SOCKET 1.27MMX2.54MM 20PIN LOCK PIN</t>
  </si>
  <si>
    <t>SAMTEC</t>
  </si>
  <si>
    <t>ASP-248396-02</t>
  </si>
  <si>
    <t>417978222</t>
  </si>
  <si>
    <t>Connector to EOS</t>
  </si>
  <si>
    <t>SEAF-20-01-L-04-2-RA-GP-TR</t>
  </si>
  <si>
    <t>Added by Yuval</t>
  </si>
  <si>
    <t>200-SEAF2001L042RAGP</t>
  </si>
  <si>
    <t>Board to Board &amp; Mezzanine Connectors .050 SEARAY High-Speed High-Density Open-Pin-Field Array Socket</t>
  </si>
  <si>
    <t>321 In Stock</t>
  </si>
  <si>
    <t>1: $16.42
10: $15.55
25: $14.96
50: $14.60
100: $12.93
175: $11.91
350: $11.02
875: $9.23</t>
  </si>
  <si>
    <t>Connector to DLT</t>
  </si>
  <si>
    <t>HARWIN</t>
  </si>
  <si>
    <t>G125-MS12605M2P</t>
  </si>
  <si>
    <t>855-G125-MS12605M2P</t>
  </si>
  <si>
    <t>Power to the Board Gecko-SL Male SMT 20 CONTACTS</t>
  </si>
  <si>
    <t>58 In Stock</t>
  </si>
  <si>
    <t>1: $16.95
10: $14.46
20: $14.38
50: $14.28
100: $12.29
200: $11.78
500: $10.97
1000: $10.76</t>
  </si>
  <si>
    <t>Connector to UMBILI</t>
  </si>
  <si>
    <t>G125-MS13405M2P</t>
  </si>
  <si>
    <t>855-G125-MS13405M2P</t>
  </si>
  <si>
    <t>Power to the Board Gecko-SL Male SMT 26 CONTACTS</t>
  </si>
  <si>
    <t>1: $18.92
10: $16.08
20: $16.06
50: $15.94
100: $13.97
200: $13.95
500: $12.20</t>
  </si>
  <si>
    <t>Connector Board to Board 40P 2X20 0.80MM STR</t>
  </si>
  <si>
    <t>QTE-020-05-L-D-A-K</t>
  </si>
  <si>
    <t>418012239</t>
  </si>
  <si>
    <t>200-QTE02005LDAK</t>
  </si>
  <si>
    <t>Board to Board &amp; Mezzanine Connectors 0.80MM Q STRIP HS TERM STRIP</t>
  </si>
  <si>
    <t>1: $10.70
10: $10.39
25: $10.12
108: $9.79</t>
  </si>
  <si>
    <t>CHIP RESIS 6.49 KOHM 0.1% 0.063W 0402 TR</t>
  </si>
  <si>
    <t>TNPW04026K49BEED</t>
  </si>
  <si>
    <t>418029501</t>
  </si>
  <si>
    <t>71-TNPW04026K49BEED</t>
  </si>
  <si>
    <t>Thin Film Resistors - SMD 1/16W 6.49Kohm .1% 25ppm</t>
  </si>
  <si>
    <t>5619 In Stock</t>
  </si>
  <si>
    <t>1: $0.26
10: $0.192
100: $0.182
250: $0.169
500: $0.16
1000: $0.152
5000: $0.148
10000: $0.125
20000: $0.123</t>
  </si>
  <si>
    <t>1210 COMMON MODE CHOKE COIL 200UH 70MA 50V</t>
  </si>
  <si>
    <t>DLW32MH201XK2L</t>
  </si>
  <si>
    <t>418067312</t>
  </si>
  <si>
    <t>81-DLW32MH201XK2L</t>
  </si>
  <si>
    <t>Common Mode Chokes / Filters 200  UH 70MA  4.8  OHM 50V</t>
  </si>
  <si>
    <t>13805 In Stock</t>
  </si>
  <si>
    <t>1: $1.46
10: $1.20
25: $1.05
100: $0.971
250: $0.898
500: $0.845
1500: $0.755
3000: $0.724</t>
  </si>
  <si>
    <t>FRAM 2MBIT SPI 50MHZ 8X256K 1.8V DFN8</t>
  </si>
  <si>
    <t>INFINEON TECHNOLOGIES AG</t>
  </si>
  <si>
    <t>CY15V102QN-50LHXI</t>
  </si>
  <si>
    <t>418119066</t>
  </si>
  <si>
    <t>727-CY15V102QN50LHXI</t>
  </si>
  <si>
    <t>F-RAM FRAM</t>
  </si>
  <si>
    <t>1: $14.88
10: $13.82
25: $13.39
50: $13.07
100: $12.75
250: $12.34</t>
  </si>
  <si>
    <t>ADJUSTABLE SEQUENCING/SUPERVISORY CIRCUITS UDFN6</t>
  </si>
  <si>
    <t>MAX16895AALT+T</t>
  </si>
  <si>
    <t>418215952</t>
  </si>
  <si>
    <t>700-MAX16895AALT+T</t>
  </si>
  <si>
    <t>Supervisory Circuits Ultra-Small, Adjustable Sequencing/Super</t>
  </si>
  <si>
    <t>3715 In Stock</t>
  </si>
  <si>
    <t>1: $4.45
10: $3.38
25: $3.11
100: $2.81
250: $2.67
1000: $2.58
2500: $2.43
5000: $2.40</t>
  </si>
  <si>
    <t>CHIP RESIS 240 OHM 1% .063W 0402 T&amp;R</t>
  </si>
  <si>
    <t>CRCW0402240RFKED</t>
  </si>
  <si>
    <t>420288996</t>
  </si>
  <si>
    <t>71-CRCW0402240RFKED</t>
  </si>
  <si>
    <t>Thick Film Resistors - SMD 1/10 Watt 240ohms 1%</t>
  </si>
  <si>
    <t>192550 In Stock</t>
  </si>
  <si>
    <t>SMT CHIP RESISTOR 12  KOhm,1%,0.063W,T&amp;R</t>
  </si>
  <si>
    <t>CRCW040212K0FKTD</t>
  </si>
  <si>
    <t>421872889</t>
  </si>
  <si>
    <t>71-CRCW0402-12K</t>
  </si>
  <si>
    <t>Thick Film Resistors - SMD 1/16watt 12Kohms 1%</t>
  </si>
  <si>
    <t>18941 In Stock</t>
  </si>
  <si>
    <t>SMT CHIP CAPACITOR 2.2uF,10%,10V,X7R,T&amp;R(Lead-Free)</t>
  </si>
  <si>
    <t>C0603C225K8RACTU</t>
  </si>
  <si>
    <t>421955648</t>
  </si>
  <si>
    <t>80-C0603C225K8R</t>
  </si>
  <si>
    <t>Multilayer Ceramic Capacitors MLCC - SMD/SMT 10V 2.2uF X7R 0603 10%</t>
  </si>
  <si>
    <t>54685 In Stock</t>
  </si>
  <si>
    <t>1: $0.29
10: $0.168
100: $0.096
500: $0.075
1000: $0.069
2000: $0.061
4000: $0.055
8000: $0.048
24000: $0.046</t>
  </si>
  <si>
    <t>CAP CHIP 0.01UF 10% 25V X7R 0201 T&amp;R</t>
  </si>
  <si>
    <t>GRM033R71E103KE14D</t>
  </si>
  <si>
    <t>422207004</t>
  </si>
  <si>
    <t>81-GRM033R71E103KE4D</t>
  </si>
  <si>
    <t>Multilayer Ceramic Capacitors MLCC - SMD/SMT 0.01 uF 25 VDC 10% 0201 X7R</t>
  </si>
  <si>
    <t>347672 In Stock</t>
  </si>
  <si>
    <t>1: $0.10
10: $0.009
100: $0.007
500: $0.005
2500: $0.004
5000: $0.003
10000: $0.002
15000: $0.002</t>
  </si>
  <si>
    <t>RES SMD 100K OHM 1% 0.33W 0603</t>
  </si>
  <si>
    <t>CRCW0603100KFKEAHP</t>
  </si>
  <si>
    <t>G10486431</t>
  </si>
  <si>
    <t>71-CRCW0603100KFKEAH</t>
  </si>
  <si>
    <t>Thick Film Resistors - SMD 0.33W 100Kohms 1% High Power AEC-Q200</t>
  </si>
  <si>
    <t>49694 In Stock</t>
  </si>
  <si>
    <t>1: $0.15
10: $0.048
100: $0.041
250: $0.033
500: $0.029
1000: $0.026
5000: $0.016</t>
  </si>
  <si>
    <t>TOTAL BOM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</si>
</sst>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7657-9C41-49DF-BCE5-D1131B2F84C2}">
  <dimension ref="A1:N103"/>
  <sheetViews>
    <sheetView tabSelected="1" zoomScale="85" zoomScaleNormal="85" workbookViewId="0">
      <pane ySplit="1" topLeftCell="A96" activePane="bottomLeft" state="frozen"/>
      <selection pane="bottomLeft" activeCell="M73" sqref="M73"/>
    </sheetView>
  </sheetViews>
  <sheetFormatPr defaultColWidth="9.28515625" defaultRowHeight="15" x14ac:dyDescent="0.25"/>
  <cols>
    <col min="1" max="1" width="18.85546875" customWidth="1"/>
    <col min="2" max="2" width="57" customWidth="1"/>
    <col min="3" max="3" width="30" customWidth="1"/>
    <col min="4" max="4" width="22.42578125" customWidth="1"/>
    <col min="5" max="5" width="13.7109375" bestFit="1" customWidth="1"/>
    <col min="6" max="6" width="16.28515625" bestFit="1" customWidth="1"/>
    <col min="7" max="7" width="17" bestFit="1" customWidth="1"/>
    <col min="8" max="8" width="15" customWidth="1"/>
    <col min="9" max="9" width="18" customWidth="1"/>
    <col min="10" max="10" width="35" customWidth="1"/>
    <col min="11" max="11" width="18" customWidth="1"/>
    <col min="12" max="12" width="20" customWidth="1"/>
    <col min="13" max="14" width="18" customWidth="1"/>
  </cols>
  <sheetData>
    <row r="1" spans="1:14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02" x14ac:dyDescent="0.25">
      <c r="A2" s="3">
        <v>41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t="s">
        <v>19</v>
      </c>
      <c r="I2" s="4" t="s">
        <v>20</v>
      </c>
      <c r="J2" s="4" t="s">
        <v>21</v>
      </c>
      <c r="K2" s="5" t="s">
        <v>22</v>
      </c>
      <c r="L2" s="5" t="s">
        <v>23</v>
      </c>
      <c r="M2" s="6">
        <v>1.6E-2</v>
      </c>
      <c r="N2" s="6">
        <f t="shared" ref="N2:N65" si="0">IF(ISNUMBER(M2),A2*M2,"")</f>
        <v>0.65600000000000003</v>
      </c>
    </row>
    <row r="3" spans="1:14" ht="102" x14ac:dyDescent="0.25">
      <c r="A3" s="3">
        <v>26</v>
      </c>
      <c r="B3" s="3" t="s">
        <v>24</v>
      </c>
      <c r="C3" s="3" t="s">
        <v>14</v>
      </c>
      <c r="D3" s="3" t="s">
        <v>25</v>
      </c>
      <c r="E3" s="3" t="s">
        <v>26</v>
      </c>
      <c r="F3" s="3" t="s">
        <v>17</v>
      </c>
      <c r="G3" s="3" t="s">
        <v>18</v>
      </c>
      <c r="H3" t="s">
        <v>19</v>
      </c>
      <c r="I3" s="4" t="s">
        <v>27</v>
      </c>
      <c r="J3" s="4" t="s">
        <v>28</v>
      </c>
      <c r="K3" s="5" t="s">
        <v>29</v>
      </c>
      <c r="L3" s="5" t="s">
        <v>30</v>
      </c>
      <c r="M3" s="6">
        <v>2.1000000000000001E-2</v>
      </c>
      <c r="N3" s="6">
        <f t="shared" si="0"/>
        <v>0.54600000000000004</v>
      </c>
    </row>
    <row r="4" spans="1:14" ht="114.75" x14ac:dyDescent="0.25">
      <c r="A4" s="3">
        <v>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17</v>
      </c>
      <c r="G4" s="3" t="s">
        <v>18</v>
      </c>
      <c r="H4" t="s">
        <v>19</v>
      </c>
      <c r="I4" s="4" t="s">
        <v>35</v>
      </c>
      <c r="J4" s="4" t="s">
        <v>36</v>
      </c>
      <c r="K4" s="5" t="s">
        <v>37</v>
      </c>
      <c r="L4" s="5" t="s">
        <v>38</v>
      </c>
      <c r="M4" s="6">
        <v>0.02</v>
      </c>
      <c r="N4" s="6">
        <f t="shared" si="0"/>
        <v>0.04</v>
      </c>
    </row>
    <row r="5" spans="1:14" ht="102" x14ac:dyDescent="0.25">
      <c r="A5" s="3">
        <v>20</v>
      </c>
      <c r="B5" s="3" t="s">
        <v>39</v>
      </c>
      <c r="C5" s="3" t="s">
        <v>14</v>
      </c>
      <c r="D5" s="3" t="s">
        <v>40</v>
      </c>
      <c r="E5" s="3" t="s">
        <v>41</v>
      </c>
      <c r="F5" s="3" t="s">
        <v>17</v>
      </c>
      <c r="G5" s="3" t="s">
        <v>18</v>
      </c>
      <c r="H5" t="s">
        <v>19</v>
      </c>
      <c r="I5" s="4" t="s">
        <v>42</v>
      </c>
      <c r="J5" s="4" t="s">
        <v>43</v>
      </c>
      <c r="K5" s="5" t="s">
        <v>44</v>
      </c>
      <c r="L5" s="5" t="s">
        <v>45</v>
      </c>
      <c r="M5" s="6">
        <v>2.1000000000000001E-2</v>
      </c>
      <c r="N5" s="6">
        <f t="shared" si="0"/>
        <v>0.42000000000000004</v>
      </c>
    </row>
    <row r="6" spans="1:14" ht="114.75" x14ac:dyDescent="0.25">
      <c r="A6" s="3">
        <v>4</v>
      </c>
      <c r="B6" s="3" t="s">
        <v>46</v>
      </c>
      <c r="C6" s="3" t="s">
        <v>14</v>
      </c>
      <c r="D6" s="3" t="s">
        <v>47</v>
      </c>
      <c r="E6" s="3" t="s">
        <v>48</v>
      </c>
      <c r="F6" s="3" t="s">
        <v>17</v>
      </c>
      <c r="G6" s="3" t="s">
        <v>18</v>
      </c>
      <c r="H6" t="s">
        <v>19</v>
      </c>
      <c r="I6" s="4" t="s">
        <v>49</v>
      </c>
      <c r="J6" s="4" t="s">
        <v>50</v>
      </c>
      <c r="K6" s="5" t="s">
        <v>51</v>
      </c>
      <c r="L6" s="5" t="s">
        <v>52</v>
      </c>
      <c r="M6" s="6">
        <v>2.1999999999999999E-2</v>
      </c>
      <c r="N6" s="6">
        <f t="shared" si="0"/>
        <v>8.7999999999999995E-2</v>
      </c>
    </row>
    <row r="7" spans="1:14" ht="114.75" x14ac:dyDescent="0.25">
      <c r="A7" s="3">
        <v>1</v>
      </c>
      <c r="B7" s="3" t="s">
        <v>53</v>
      </c>
      <c r="C7" s="3" t="s">
        <v>14</v>
      </c>
      <c r="D7" s="3" t="s">
        <v>54</v>
      </c>
      <c r="E7" s="3" t="s">
        <v>55</v>
      </c>
      <c r="F7" s="3" t="s">
        <v>17</v>
      </c>
      <c r="G7" s="3" t="s">
        <v>18</v>
      </c>
      <c r="H7" t="s">
        <v>19</v>
      </c>
      <c r="I7" s="4" t="s">
        <v>56</v>
      </c>
      <c r="J7" s="4" t="s">
        <v>57</v>
      </c>
      <c r="K7" s="5" t="s">
        <v>58</v>
      </c>
      <c r="L7" s="5" t="s">
        <v>59</v>
      </c>
      <c r="M7" s="6">
        <v>1.9E-2</v>
      </c>
      <c r="N7" s="6">
        <f t="shared" si="0"/>
        <v>1.9E-2</v>
      </c>
    </row>
    <row r="8" spans="1:14" ht="114.75" x14ac:dyDescent="0.25">
      <c r="A8" s="3">
        <v>1</v>
      </c>
      <c r="B8" s="3" t="s">
        <v>60</v>
      </c>
      <c r="C8" s="3" t="s">
        <v>14</v>
      </c>
      <c r="D8" s="3" t="s">
        <v>61</v>
      </c>
      <c r="E8" s="3" t="s">
        <v>62</v>
      </c>
      <c r="F8" s="3" t="s">
        <v>17</v>
      </c>
      <c r="G8" s="3" t="s">
        <v>18</v>
      </c>
      <c r="H8" t="s">
        <v>19</v>
      </c>
      <c r="I8" s="4" t="s">
        <v>63</v>
      </c>
      <c r="J8" s="4" t="s">
        <v>64</v>
      </c>
      <c r="K8" s="5" t="s">
        <v>65</v>
      </c>
      <c r="L8" s="5" t="s">
        <v>66</v>
      </c>
      <c r="M8" s="6">
        <v>0.02</v>
      </c>
      <c r="N8" s="6">
        <f t="shared" si="0"/>
        <v>0.02</v>
      </c>
    </row>
    <row r="9" spans="1:14" ht="114.75" x14ac:dyDescent="0.25">
      <c r="A9" s="3">
        <v>2</v>
      </c>
      <c r="B9" s="3" t="s">
        <v>67</v>
      </c>
      <c r="C9" s="3" t="s">
        <v>68</v>
      </c>
      <c r="D9" s="3" t="s">
        <v>69</v>
      </c>
      <c r="E9" s="3" t="s">
        <v>70</v>
      </c>
      <c r="F9" s="3" t="s">
        <v>17</v>
      </c>
      <c r="G9" s="3" t="s">
        <v>18</v>
      </c>
      <c r="H9" t="s">
        <v>19</v>
      </c>
      <c r="I9" s="4" t="s">
        <v>71</v>
      </c>
      <c r="J9" s="4" t="s">
        <v>72</v>
      </c>
      <c r="K9" s="5" t="s">
        <v>73</v>
      </c>
      <c r="L9" s="5" t="s">
        <v>74</v>
      </c>
      <c r="M9" s="6">
        <v>2.1999999999999999E-2</v>
      </c>
      <c r="N9" s="6">
        <f t="shared" si="0"/>
        <v>4.3999999999999997E-2</v>
      </c>
    </row>
    <row r="10" spans="1:14" ht="102" x14ac:dyDescent="0.25">
      <c r="A10" s="3">
        <v>2</v>
      </c>
      <c r="B10" s="3" t="s">
        <v>75</v>
      </c>
      <c r="C10" s="3" t="s">
        <v>14</v>
      </c>
      <c r="D10" s="3" t="s">
        <v>76</v>
      </c>
      <c r="E10" s="3" t="s">
        <v>77</v>
      </c>
      <c r="F10" s="3" t="s">
        <v>17</v>
      </c>
      <c r="G10" s="3" t="s">
        <v>18</v>
      </c>
      <c r="H10" t="s">
        <v>19</v>
      </c>
      <c r="I10" s="4" t="s">
        <v>78</v>
      </c>
      <c r="J10" s="4" t="s">
        <v>79</v>
      </c>
      <c r="K10" s="5" t="s">
        <v>80</v>
      </c>
      <c r="L10" s="5" t="s">
        <v>81</v>
      </c>
      <c r="M10" s="6">
        <v>1.7999999999999999E-2</v>
      </c>
      <c r="N10" s="6">
        <f t="shared" si="0"/>
        <v>3.5999999999999997E-2</v>
      </c>
    </row>
    <row r="11" spans="1:14" ht="114.75" x14ac:dyDescent="0.25">
      <c r="A11" s="3">
        <v>2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17</v>
      </c>
      <c r="G11" s="3" t="s">
        <v>18</v>
      </c>
      <c r="H11" t="s">
        <v>19</v>
      </c>
      <c r="I11" s="4" t="s">
        <v>86</v>
      </c>
      <c r="J11" s="4" t="s">
        <v>87</v>
      </c>
      <c r="K11" s="5" t="s">
        <v>88</v>
      </c>
      <c r="L11" s="5" t="s">
        <v>89</v>
      </c>
      <c r="M11" s="6">
        <v>2.1000000000000001E-2</v>
      </c>
      <c r="N11" s="6">
        <f t="shared" si="0"/>
        <v>4.2000000000000003E-2</v>
      </c>
    </row>
    <row r="12" spans="1:14" ht="114.75" x14ac:dyDescent="0.25">
      <c r="A12" s="3">
        <v>2</v>
      </c>
      <c r="B12" s="3" t="s">
        <v>90</v>
      </c>
      <c r="C12" s="3" t="s">
        <v>83</v>
      </c>
      <c r="D12" s="3" t="s">
        <v>91</v>
      </c>
      <c r="E12" s="3" t="s">
        <v>92</v>
      </c>
      <c r="F12" s="3" t="s">
        <v>17</v>
      </c>
      <c r="G12" s="3" t="s">
        <v>18</v>
      </c>
      <c r="H12" t="s">
        <v>19</v>
      </c>
      <c r="I12" s="4" t="s">
        <v>93</v>
      </c>
      <c r="J12" s="4" t="s">
        <v>94</v>
      </c>
      <c r="K12" s="5" t="s">
        <v>95</v>
      </c>
      <c r="L12" s="5" t="s">
        <v>96</v>
      </c>
      <c r="M12" s="6">
        <v>1.7000000000000001E-2</v>
      </c>
      <c r="N12" s="6">
        <f t="shared" si="0"/>
        <v>3.4000000000000002E-2</v>
      </c>
    </row>
    <row r="13" spans="1:14" ht="114.75" x14ac:dyDescent="0.25">
      <c r="A13" s="3">
        <v>3</v>
      </c>
      <c r="B13" s="3" t="s">
        <v>97</v>
      </c>
      <c r="C13" s="3" t="s">
        <v>14</v>
      </c>
      <c r="D13" s="3" t="s">
        <v>98</v>
      </c>
      <c r="E13" s="3" t="s">
        <v>99</v>
      </c>
      <c r="F13" s="3" t="s">
        <v>17</v>
      </c>
      <c r="G13" s="3" t="s">
        <v>18</v>
      </c>
      <c r="H13" t="s">
        <v>19</v>
      </c>
      <c r="I13" s="4" t="s">
        <v>100</v>
      </c>
      <c r="J13" s="4" t="s">
        <v>101</v>
      </c>
      <c r="K13" s="5" t="s">
        <v>102</v>
      </c>
      <c r="L13" s="5" t="s">
        <v>103</v>
      </c>
      <c r="M13" s="6">
        <v>2.1000000000000001E-2</v>
      </c>
      <c r="N13" s="6">
        <f t="shared" si="0"/>
        <v>6.3E-2</v>
      </c>
    </row>
    <row r="14" spans="1:14" ht="114.75" x14ac:dyDescent="0.25">
      <c r="A14" s="3">
        <v>2</v>
      </c>
      <c r="B14" s="3" t="s">
        <v>104</v>
      </c>
      <c r="C14" s="3" t="s">
        <v>14</v>
      </c>
      <c r="D14" s="3" t="s">
        <v>105</v>
      </c>
      <c r="E14" s="3" t="s">
        <v>106</v>
      </c>
      <c r="F14" s="3" t="s">
        <v>17</v>
      </c>
      <c r="G14" s="3" t="s">
        <v>18</v>
      </c>
      <c r="H14" t="s">
        <v>19</v>
      </c>
      <c r="I14" s="4" t="s">
        <v>107</v>
      </c>
      <c r="J14" s="4" t="s">
        <v>108</v>
      </c>
      <c r="K14" s="5" t="s">
        <v>109</v>
      </c>
      <c r="L14" s="5" t="s">
        <v>110</v>
      </c>
      <c r="M14" s="6">
        <v>2.4E-2</v>
      </c>
      <c r="N14" s="6">
        <f t="shared" si="0"/>
        <v>4.8000000000000001E-2</v>
      </c>
    </row>
    <row r="15" spans="1:14" ht="102" x14ac:dyDescent="0.25">
      <c r="A15" s="3">
        <v>3</v>
      </c>
      <c r="B15" s="3" t="s">
        <v>111</v>
      </c>
      <c r="C15" s="3" t="s">
        <v>68</v>
      </c>
      <c r="D15" s="3" t="s">
        <v>112</v>
      </c>
      <c r="E15" s="3" t="s">
        <v>113</v>
      </c>
      <c r="F15" s="3" t="s">
        <v>17</v>
      </c>
      <c r="G15" s="3" t="s">
        <v>18</v>
      </c>
      <c r="H15" t="s">
        <v>19</v>
      </c>
      <c r="I15" s="4" t="s">
        <v>114</v>
      </c>
      <c r="J15" s="4" t="s">
        <v>115</v>
      </c>
      <c r="K15" s="5" t="s">
        <v>116</v>
      </c>
      <c r="L15" s="5" t="s">
        <v>45</v>
      </c>
      <c r="M15" s="6">
        <v>2.1000000000000001E-2</v>
      </c>
      <c r="N15" s="6">
        <f t="shared" si="0"/>
        <v>6.3E-2</v>
      </c>
    </row>
    <row r="16" spans="1:14" ht="114.75" x14ac:dyDescent="0.25">
      <c r="A16" s="3">
        <v>6</v>
      </c>
      <c r="B16" s="3" t="s">
        <v>117</v>
      </c>
      <c r="C16" s="3" t="s">
        <v>68</v>
      </c>
      <c r="D16" s="3" t="s">
        <v>118</v>
      </c>
      <c r="E16" s="3" t="s">
        <v>119</v>
      </c>
      <c r="F16" s="3"/>
      <c r="G16" s="3"/>
      <c r="H16" t="s">
        <v>19</v>
      </c>
      <c r="I16" s="4" t="s">
        <v>120</v>
      </c>
      <c r="J16" s="4" t="s">
        <v>121</v>
      </c>
      <c r="K16" s="5" t="s">
        <v>122</v>
      </c>
      <c r="L16" s="5" t="s">
        <v>123</v>
      </c>
      <c r="M16" s="6">
        <v>1.9E-2</v>
      </c>
      <c r="N16" s="6">
        <f t="shared" si="0"/>
        <v>0.11399999999999999</v>
      </c>
    </row>
    <row r="17" spans="1:14" ht="114.75" x14ac:dyDescent="0.25">
      <c r="A17" s="3">
        <v>6</v>
      </c>
      <c r="B17" s="3" t="s">
        <v>124</v>
      </c>
      <c r="C17" s="3" t="s">
        <v>125</v>
      </c>
      <c r="D17" s="3" t="s">
        <v>126</v>
      </c>
      <c r="E17" s="3" t="s">
        <v>127</v>
      </c>
      <c r="F17" s="3" t="s">
        <v>17</v>
      </c>
      <c r="G17" s="3" t="s">
        <v>18</v>
      </c>
      <c r="H17" t="s">
        <v>19</v>
      </c>
      <c r="I17" s="4" t="s">
        <v>128</v>
      </c>
      <c r="J17" s="4" t="s">
        <v>129</v>
      </c>
      <c r="K17" s="5" t="s">
        <v>130</v>
      </c>
      <c r="L17" s="5" t="s">
        <v>131</v>
      </c>
      <c r="M17" s="6">
        <v>6.7000000000000004E-2</v>
      </c>
      <c r="N17" s="6">
        <f t="shared" si="0"/>
        <v>0.40200000000000002</v>
      </c>
    </row>
    <row r="18" spans="1:14" ht="114.75" x14ac:dyDescent="0.25">
      <c r="A18" s="3">
        <v>199</v>
      </c>
      <c r="B18" s="3" t="s">
        <v>132</v>
      </c>
      <c r="C18" s="3" t="s">
        <v>133</v>
      </c>
      <c r="D18" s="3" t="s">
        <v>134</v>
      </c>
      <c r="E18" s="3" t="s">
        <v>135</v>
      </c>
      <c r="F18" s="3" t="s">
        <v>17</v>
      </c>
      <c r="G18" s="3" t="s">
        <v>18</v>
      </c>
      <c r="H18" t="s">
        <v>19</v>
      </c>
      <c r="I18" s="4" t="s">
        <v>136</v>
      </c>
      <c r="J18" s="4" t="s">
        <v>137</v>
      </c>
      <c r="K18" s="5"/>
      <c r="L18" s="5" t="s">
        <v>138</v>
      </c>
      <c r="M18" s="6">
        <v>4.0000000000000001E-3</v>
      </c>
      <c r="N18" s="6">
        <f t="shared" si="0"/>
        <v>0.79600000000000004</v>
      </c>
    </row>
    <row r="19" spans="1:14" ht="114.75" x14ac:dyDescent="0.25">
      <c r="A19" s="3">
        <v>51</v>
      </c>
      <c r="B19" s="3" t="s">
        <v>139</v>
      </c>
      <c r="C19" s="3" t="s">
        <v>14</v>
      </c>
      <c r="D19" s="3" t="s">
        <v>140</v>
      </c>
      <c r="E19" s="3" t="s">
        <v>141</v>
      </c>
      <c r="F19" s="3" t="s">
        <v>17</v>
      </c>
      <c r="G19" s="3" t="s">
        <v>18</v>
      </c>
      <c r="H19" t="s">
        <v>19</v>
      </c>
      <c r="I19" s="4" t="s">
        <v>142</v>
      </c>
      <c r="J19" s="4" t="s">
        <v>143</v>
      </c>
      <c r="K19" s="5" t="s">
        <v>144</v>
      </c>
      <c r="L19" s="5" t="s">
        <v>145</v>
      </c>
      <c r="M19" s="6">
        <v>4.0000000000000001E-3</v>
      </c>
      <c r="N19" s="6">
        <f t="shared" si="0"/>
        <v>0.20400000000000001</v>
      </c>
    </row>
    <row r="20" spans="1:14" ht="114.75" x14ac:dyDescent="0.25">
      <c r="A20" s="3">
        <v>1</v>
      </c>
      <c r="B20" s="3" t="s">
        <v>146</v>
      </c>
      <c r="C20" s="3" t="s">
        <v>14</v>
      </c>
      <c r="D20" s="3" t="s">
        <v>147</v>
      </c>
      <c r="E20" s="3" t="s">
        <v>148</v>
      </c>
      <c r="F20" s="3" t="s">
        <v>17</v>
      </c>
      <c r="G20" s="3" t="s">
        <v>18</v>
      </c>
      <c r="H20" t="s">
        <v>19</v>
      </c>
      <c r="I20" s="4" t="s">
        <v>149</v>
      </c>
      <c r="J20" s="4" t="s">
        <v>150</v>
      </c>
      <c r="K20" s="5" t="s">
        <v>151</v>
      </c>
      <c r="L20" s="5" t="s">
        <v>145</v>
      </c>
      <c r="M20" s="6">
        <v>4.0000000000000001E-3</v>
      </c>
      <c r="N20" s="6">
        <f t="shared" si="0"/>
        <v>4.0000000000000001E-3</v>
      </c>
    </row>
    <row r="21" spans="1:14" ht="102" x14ac:dyDescent="0.25">
      <c r="A21" s="3">
        <v>7</v>
      </c>
      <c r="B21" s="3" t="s">
        <v>152</v>
      </c>
      <c r="C21" s="3" t="s">
        <v>14</v>
      </c>
      <c r="D21" s="3" t="s">
        <v>153</v>
      </c>
      <c r="E21" s="3" t="s">
        <v>154</v>
      </c>
      <c r="F21" s="3" t="s">
        <v>17</v>
      </c>
      <c r="G21" s="3" t="s">
        <v>18</v>
      </c>
      <c r="H21" t="s">
        <v>19</v>
      </c>
      <c r="I21" s="4" t="s">
        <v>155</v>
      </c>
      <c r="J21" s="4" t="s">
        <v>156</v>
      </c>
      <c r="K21" s="5" t="s">
        <v>157</v>
      </c>
      <c r="L21" s="5" t="s">
        <v>158</v>
      </c>
      <c r="M21" s="6">
        <v>4.0000000000000001E-3</v>
      </c>
      <c r="N21" s="6">
        <f t="shared" si="0"/>
        <v>2.8000000000000001E-2</v>
      </c>
    </row>
    <row r="22" spans="1:14" ht="102" x14ac:dyDescent="0.25">
      <c r="A22" s="3">
        <v>1</v>
      </c>
      <c r="B22" s="3" t="s">
        <v>159</v>
      </c>
      <c r="C22" s="3" t="s">
        <v>14</v>
      </c>
      <c r="D22" s="3" t="s">
        <v>160</v>
      </c>
      <c r="E22" s="3" t="s">
        <v>161</v>
      </c>
      <c r="F22" s="3" t="s">
        <v>17</v>
      </c>
      <c r="G22" s="3" t="s">
        <v>18</v>
      </c>
      <c r="H22" t="s">
        <v>19</v>
      </c>
      <c r="I22" s="4" t="s">
        <v>162</v>
      </c>
      <c r="J22" s="4" t="s">
        <v>163</v>
      </c>
      <c r="K22" s="5" t="s">
        <v>164</v>
      </c>
      <c r="L22" s="5" t="s">
        <v>165</v>
      </c>
      <c r="M22" s="6">
        <v>4.0000000000000001E-3</v>
      </c>
      <c r="N22" s="6">
        <f t="shared" si="0"/>
        <v>4.0000000000000001E-3</v>
      </c>
    </row>
    <row r="23" spans="1:14" ht="102" x14ac:dyDescent="0.25">
      <c r="A23" s="3">
        <v>2</v>
      </c>
      <c r="B23" s="3" t="s">
        <v>166</v>
      </c>
      <c r="C23" s="3" t="s">
        <v>14</v>
      </c>
      <c r="D23" s="3" t="s">
        <v>167</v>
      </c>
      <c r="E23" s="3" t="s">
        <v>168</v>
      </c>
      <c r="F23" s="3" t="s">
        <v>17</v>
      </c>
      <c r="G23" s="3" t="s">
        <v>18</v>
      </c>
      <c r="H23" t="s">
        <v>19</v>
      </c>
      <c r="I23" s="4" t="s">
        <v>169</v>
      </c>
      <c r="J23" s="4" t="s">
        <v>170</v>
      </c>
      <c r="K23" s="5" t="s">
        <v>171</v>
      </c>
      <c r="L23" s="5" t="s">
        <v>165</v>
      </c>
      <c r="M23" s="6">
        <v>4.0000000000000001E-3</v>
      </c>
      <c r="N23" s="6">
        <f t="shared" si="0"/>
        <v>8.0000000000000002E-3</v>
      </c>
    </row>
    <row r="24" spans="1:14" ht="102" x14ac:dyDescent="0.25">
      <c r="A24" s="3">
        <v>1</v>
      </c>
      <c r="B24" s="3" t="s">
        <v>172</v>
      </c>
      <c r="C24" s="3" t="s">
        <v>68</v>
      </c>
      <c r="D24" s="3" t="s">
        <v>173</v>
      </c>
      <c r="E24" s="3" t="s">
        <v>174</v>
      </c>
      <c r="F24" s="3" t="s">
        <v>17</v>
      </c>
      <c r="G24" s="3" t="s">
        <v>18</v>
      </c>
      <c r="H24" t="s">
        <v>19</v>
      </c>
      <c r="I24" s="4" t="s">
        <v>175</v>
      </c>
      <c r="J24" s="4" t="s">
        <v>176</v>
      </c>
      <c r="K24" s="5"/>
      <c r="L24" s="5" t="s">
        <v>165</v>
      </c>
      <c r="M24" s="6">
        <v>4.0000000000000001E-3</v>
      </c>
      <c r="N24" s="6">
        <f t="shared" si="0"/>
        <v>4.0000000000000001E-3</v>
      </c>
    </row>
    <row r="25" spans="1:14" ht="102" x14ac:dyDescent="0.25">
      <c r="A25" s="3">
        <v>2</v>
      </c>
      <c r="B25" s="3" t="s">
        <v>177</v>
      </c>
      <c r="C25" s="3" t="s">
        <v>14</v>
      </c>
      <c r="D25" s="3" t="s">
        <v>178</v>
      </c>
      <c r="E25" s="3" t="s">
        <v>179</v>
      </c>
      <c r="F25" s="3" t="s">
        <v>17</v>
      </c>
      <c r="G25" s="3" t="s">
        <v>18</v>
      </c>
      <c r="H25" t="s">
        <v>19</v>
      </c>
      <c r="I25" s="4" t="s">
        <v>180</v>
      </c>
      <c r="J25" s="4" t="s">
        <v>181</v>
      </c>
      <c r="K25" s="5" t="s">
        <v>182</v>
      </c>
      <c r="L25" s="5" t="s">
        <v>183</v>
      </c>
      <c r="M25" s="6">
        <v>4.0000000000000001E-3</v>
      </c>
      <c r="N25" s="6">
        <f t="shared" si="0"/>
        <v>8.0000000000000002E-3</v>
      </c>
    </row>
    <row r="26" spans="1:14" ht="114.75" x14ac:dyDescent="0.25">
      <c r="A26" s="3">
        <v>3</v>
      </c>
      <c r="B26" s="3" t="s">
        <v>184</v>
      </c>
      <c r="C26" s="3" t="s">
        <v>83</v>
      </c>
      <c r="D26" s="3" t="s">
        <v>185</v>
      </c>
      <c r="E26" s="3" t="s">
        <v>186</v>
      </c>
      <c r="F26" s="3" t="s">
        <v>17</v>
      </c>
      <c r="G26" s="3" t="s">
        <v>18</v>
      </c>
      <c r="H26" t="s">
        <v>19</v>
      </c>
      <c r="I26" s="4" t="s">
        <v>187</v>
      </c>
      <c r="J26" s="4" t="s">
        <v>188</v>
      </c>
      <c r="K26" s="5" t="s">
        <v>189</v>
      </c>
      <c r="L26" s="5" t="s">
        <v>190</v>
      </c>
      <c r="M26" s="6">
        <v>2.1000000000000001E-2</v>
      </c>
      <c r="N26" s="6">
        <f t="shared" si="0"/>
        <v>6.3E-2</v>
      </c>
    </row>
    <row r="27" spans="1:14" ht="76.5" x14ac:dyDescent="0.25">
      <c r="A27" s="3">
        <v>1</v>
      </c>
      <c r="B27" s="3" t="s">
        <v>191</v>
      </c>
      <c r="C27" s="3" t="s">
        <v>83</v>
      </c>
      <c r="D27" s="3" t="s">
        <v>192</v>
      </c>
      <c r="E27" s="3" t="s">
        <v>193</v>
      </c>
      <c r="F27" s="3" t="s">
        <v>17</v>
      </c>
      <c r="G27" s="3" t="s">
        <v>18</v>
      </c>
      <c r="H27" t="s">
        <v>19</v>
      </c>
      <c r="I27" s="4" t="s">
        <v>194</v>
      </c>
      <c r="J27" s="4" t="s">
        <v>195</v>
      </c>
      <c r="K27" s="5" t="s">
        <v>196</v>
      </c>
      <c r="L27" s="5" t="s">
        <v>197</v>
      </c>
      <c r="M27" s="6">
        <v>2.1999999999999999E-2</v>
      </c>
      <c r="N27" s="6">
        <f t="shared" si="0"/>
        <v>2.1999999999999999E-2</v>
      </c>
    </row>
    <row r="28" spans="1:14" ht="114.75" x14ac:dyDescent="0.25">
      <c r="A28" s="3">
        <v>2</v>
      </c>
      <c r="B28" s="3" t="s">
        <v>198</v>
      </c>
      <c r="C28" s="3" t="s">
        <v>83</v>
      </c>
      <c r="D28" s="3" t="s">
        <v>199</v>
      </c>
      <c r="E28" s="3" t="s">
        <v>200</v>
      </c>
      <c r="F28" s="3" t="s">
        <v>17</v>
      </c>
      <c r="G28" s="3" t="s">
        <v>18</v>
      </c>
      <c r="H28" t="s">
        <v>19</v>
      </c>
      <c r="I28" s="4" t="s">
        <v>201</v>
      </c>
      <c r="J28" s="4" t="s">
        <v>202</v>
      </c>
      <c r="K28" s="5" t="s">
        <v>203</v>
      </c>
      <c r="L28" s="5" t="s">
        <v>190</v>
      </c>
      <c r="M28" s="6">
        <v>2.1000000000000001E-2</v>
      </c>
      <c r="N28" s="6">
        <f t="shared" si="0"/>
        <v>4.2000000000000003E-2</v>
      </c>
    </row>
    <row r="29" spans="1:14" ht="114.75" x14ac:dyDescent="0.25">
      <c r="A29" s="3">
        <v>1</v>
      </c>
      <c r="B29" s="3" t="s">
        <v>204</v>
      </c>
      <c r="C29" s="3" t="s">
        <v>68</v>
      </c>
      <c r="D29" s="3" t="s">
        <v>205</v>
      </c>
      <c r="E29" s="3" t="s">
        <v>206</v>
      </c>
      <c r="F29" s="3" t="s">
        <v>17</v>
      </c>
      <c r="G29" s="3" t="s">
        <v>18</v>
      </c>
      <c r="H29" t="s">
        <v>19</v>
      </c>
      <c r="I29" s="4" t="s">
        <v>207</v>
      </c>
      <c r="J29" s="4" t="s">
        <v>208</v>
      </c>
      <c r="K29" s="5" t="s">
        <v>209</v>
      </c>
      <c r="L29" s="5" t="s">
        <v>190</v>
      </c>
      <c r="M29" s="6">
        <v>2.1000000000000001E-2</v>
      </c>
      <c r="N29" s="6">
        <f t="shared" si="0"/>
        <v>2.1000000000000001E-2</v>
      </c>
    </row>
    <row r="30" spans="1:14" ht="102" x14ac:dyDescent="0.25">
      <c r="A30" s="3">
        <v>2</v>
      </c>
      <c r="B30" s="3" t="s">
        <v>210</v>
      </c>
      <c r="C30" s="3" t="s">
        <v>14</v>
      </c>
      <c r="D30" s="3" t="s">
        <v>211</v>
      </c>
      <c r="E30" s="3" t="s">
        <v>212</v>
      </c>
      <c r="F30" s="3" t="s">
        <v>17</v>
      </c>
      <c r="G30" s="3" t="s">
        <v>18</v>
      </c>
      <c r="H30" t="s">
        <v>19</v>
      </c>
      <c r="I30" s="4" t="s">
        <v>213</v>
      </c>
      <c r="J30" s="4" t="s">
        <v>214</v>
      </c>
      <c r="K30" s="5" t="s">
        <v>215</v>
      </c>
      <c r="L30" s="5" t="s">
        <v>216</v>
      </c>
      <c r="M30" s="6">
        <v>2.1000000000000001E-2</v>
      </c>
      <c r="N30" s="6">
        <f t="shared" si="0"/>
        <v>4.2000000000000003E-2</v>
      </c>
    </row>
    <row r="31" spans="1:14" ht="114.75" x14ac:dyDescent="0.25">
      <c r="A31" s="3">
        <v>1</v>
      </c>
      <c r="B31" s="3" t="s">
        <v>217</v>
      </c>
      <c r="C31" s="3" t="s">
        <v>83</v>
      </c>
      <c r="D31" s="3" t="s">
        <v>218</v>
      </c>
      <c r="E31" s="3" t="s">
        <v>219</v>
      </c>
      <c r="F31" s="3" t="s">
        <v>17</v>
      </c>
      <c r="G31" s="3" t="s">
        <v>18</v>
      </c>
      <c r="H31" t="s">
        <v>19</v>
      </c>
      <c r="I31" s="4" t="s">
        <v>220</v>
      </c>
      <c r="J31" s="4" t="s">
        <v>221</v>
      </c>
      <c r="K31" s="5" t="s">
        <v>222</v>
      </c>
      <c r="L31" s="5" t="s">
        <v>96</v>
      </c>
      <c r="M31" s="6">
        <v>1.7000000000000001E-2</v>
      </c>
      <c r="N31" s="6">
        <f t="shared" si="0"/>
        <v>1.7000000000000001E-2</v>
      </c>
    </row>
    <row r="32" spans="1:14" ht="102" x14ac:dyDescent="0.25">
      <c r="A32" s="3">
        <v>2</v>
      </c>
      <c r="B32" s="3" t="s">
        <v>223</v>
      </c>
      <c r="C32" s="3" t="s">
        <v>14</v>
      </c>
      <c r="D32" s="3" t="s">
        <v>224</v>
      </c>
      <c r="E32" s="3" t="s">
        <v>225</v>
      </c>
      <c r="F32" s="3"/>
      <c r="G32" s="3"/>
      <c r="H32" t="s">
        <v>19</v>
      </c>
      <c r="I32" s="4" t="s">
        <v>226</v>
      </c>
      <c r="J32" s="4" t="s">
        <v>227</v>
      </c>
      <c r="K32" s="5" t="s">
        <v>228</v>
      </c>
      <c r="L32" s="5" t="s">
        <v>229</v>
      </c>
      <c r="M32" s="6">
        <v>2.4E-2</v>
      </c>
      <c r="N32" s="6">
        <f t="shared" si="0"/>
        <v>4.8000000000000001E-2</v>
      </c>
    </row>
    <row r="33" spans="1:14" ht="114.75" x14ac:dyDescent="0.25">
      <c r="A33" s="3">
        <v>2</v>
      </c>
      <c r="B33" s="3" t="s">
        <v>230</v>
      </c>
      <c r="C33" s="3" t="s">
        <v>83</v>
      </c>
      <c r="D33" s="3" t="s">
        <v>231</v>
      </c>
      <c r="E33" s="3" t="s">
        <v>232</v>
      </c>
      <c r="F33" s="3"/>
      <c r="G33" s="3"/>
      <c r="H33" t="s">
        <v>19</v>
      </c>
      <c r="I33" s="4" t="s">
        <v>233</v>
      </c>
      <c r="J33" s="4" t="s">
        <v>234</v>
      </c>
      <c r="K33" s="5" t="s">
        <v>235</v>
      </c>
      <c r="L33" s="5" t="s">
        <v>236</v>
      </c>
      <c r="M33" s="6">
        <v>2.1000000000000001E-2</v>
      </c>
      <c r="N33" s="6">
        <f t="shared" si="0"/>
        <v>4.2000000000000003E-2</v>
      </c>
    </row>
    <row r="34" spans="1:14" ht="114.75" x14ac:dyDescent="0.25">
      <c r="A34" s="3">
        <v>2</v>
      </c>
      <c r="B34" s="3" t="s">
        <v>237</v>
      </c>
      <c r="C34" s="3" t="s">
        <v>14</v>
      </c>
      <c r="D34" s="3" t="s">
        <v>238</v>
      </c>
      <c r="E34" s="3" t="s">
        <v>239</v>
      </c>
      <c r="F34" s="3" t="s">
        <v>17</v>
      </c>
      <c r="G34" s="3" t="s">
        <v>18</v>
      </c>
      <c r="H34" t="s">
        <v>19</v>
      </c>
      <c r="I34" s="4" t="s">
        <v>240</v>
      </c>
      <c r="J34" s="4" t="s">
        <v>241</v>
      </c>
      <c r="K34" s="5" t="s">
        <v>242</v>
      </c>
      <c r="L34" s="5" t="s">
        <v>236</v>
      </c>
      <c r="M34" s="6">
        <v>2.1000000000000001E-2</v>
      </c>
      <c r="N34" s="6">
        <f t="shared" si="0"/>
        <v>4.2000000000000003E-2</v>
      </c>
    </row>
    <row r="35" spans="1:14" ht="114.75" x14ac:dyDescent="0.25">
      <c r="A35" s="3">
        <v>1</v>
      </c>
      <c r="B35" s="3" t="s">
        <v>243</v>
      </c>
      <c r="C35" s="3" t="s">
        <v>83</v>
      </c>
      <c r="D35" s="3" t="s">
        <v>244</v>
      </c>
      <c r="E35" s="3" t="s">
        <v>245</v>
      </c>
      <c r="F35" s="3" t="s">
        <v>17</v>
      </c>
      <c r="G35" s="3" t="s">
        <v>18</v>
      </c>
      <c r="H35" t="s">
        <v>19</v>
      </c>
      <c r="I35" s="4" t="s">
        <v>246</v>
      </c>
      <c r="J35" s="4" t="s">
        <v>247</v>
      </c>
      <c r="K35" s="5" t="s">
        <v>248</v>
      </c>
      <c r="L35" s="5" t="s">
        <v>190</v>
      </c>
      <c r="M35" s="6">
        <v>2.1000000000000001E-2</v>
      </c>
      <c r="N35" s="6">
        <f t="shared" si="0"/>
        <v>2.1000000000000001E-2</v>
      </c>
    </row>
    <row r="36" spans="1:14" ht="114.75" x14ac:dyDescent="0.25">
      <c r="A36" s="3">
        <v>52</v>
      </c>
      <c r="B36" s="3" t="s">
        <v>249</v>
      </c>
      <c r="C36" s="3" t="s">
        <v>14</v>
      </c>
      <c r="D36" s="3" t="s">
        <v>250</v>
      </c>
      <c r="E36" s="3" t="s">
        <v>251</v>
      </c>
      <c r="F36" s="3" t="s">
        <v>17</v>
      </c>
      <c r="G36" s="3" t="s">
        <v>18</v>
      </c>
      <c r="H36" t="s">
        <v>19</v>
      </c>
      <c r="I36" s="4" t="s">
        <v>252</v>
      </c>
      <c r="J36" s="4" t="s">
        <v>253</v>
      </c>
      <c r="K36" s="5" t="s">
        <v>254</v>
      </c>
      <c r="L36" s="5" t="s">
        <v>145</v>
      </c>
      <c r="M36" s="6">
        <v>4.0000000000000001E-3</v>
      </c>
      <c r="N36" s="6">
        <f t="shared" si="0"/>
        <v>0.20800000000000002</v>
      </c>
    </row>
    <row r="37" spans="1:14" ht="102" x14ac:dyDescent="0.25">
      <c r="A37" s="3">
        <v>4</v>
      </c>
      <c r="B37" s="3" t="s">
        <v>255</v>
      </c>
      <c r="C37" s="3" t="s">
        <v>68</v>
      </c>
      <c r="D37" s="3" t="s">
        <v>256</v>
      </c>
      <c r="E37" s="3" t="s">
        <v>257</v>
      </c>
      <c r="F37" s="3" t="s">
        <v>17</v>
      </c>
      <c r="G37" s="3" t="s">
        <v>18</v>
      </c>
      <c r="H37" t="s">
        <v>19</v>
      </c>
      <c r="I37" s="4" t="s">
        <v>258</v>
      </c>
      <c r="J37" s="4" t="s">
        <v>259</v>
      </c>
      <c r="K37" s="5" t="s">
        <v>260</v>
      </c>
      <c r="L37" s="5" t="s">
        <v>261</v>
      </c>
      <c r="M37" s="6">
        <v>0.27500000000000002</v>
      </c>
      <c r="N37" s="6">
        <f t="shared" si="0"/>
        <v>1.1000000000000001</v>
      </c>
    </row>
    <row r="38" spans="1:14" ht="38.25" x14ac:dyDescent="0.25">
      <c r="A38" s="3">
        <v>2</v>
      </c>
      <c r="B38" s="3" t="s">
        <v>262</v>
      </c>
      <c r="C38" s="3" t="s">
        <v>68</v>
      </c>
      <c r="D38" s="3" t="s">
        <v>263</v>
      </c>
      <c r="E38" s="3" t="s">
        <v>264</v>
      </c>
      <c r="F38" s="3" t="s">
        <v>17</v>
      </c>
      <c r="G38" s="3" t="s">
        <v>18</v>
      </c>
      <c r="H38" t="s">
        <v>19</v>
      </c>
      <c r="I38" s="4" t="s">
        <v>265</v>
      </c>
      <c r="J38" s="4" t="s">
        <v>266</v>
      </c>
      <c r="K38" s="5" t="s">
        <v>260</v>
      </c>
      <c r="L38" s="5" t="s">
        <v>267</v>
      </c>
      <c r="M38" s="6">
        <v>0.27400000000000002</v>
      </c>
      <c r="N38" s="6">
        <f t="shared" si="0"/>
        <v>0.54800000000000004</v>
      </c>
    </row>
    <row r="39" spans="1:14" ht="102" x14ac:dyDescent="0.25">
      <c r="A39" s="3">
        <v>50</v>
      </c>
      <c r="B39" s="3" t="s">
        <v>268</v>
      </c>
      <c r="C39" s="3" t="s">
        <v>14</v>
      </c>
      <c r="D39" s="3" t="s">
        <v>269</v>
      </c>
      <c r="E39" s="3" t="s">
        <v>270</v>
      </c>
      <c r="F39" s="3" t="s">
        <v>17</v>
      </c>
      <c r="G39" s="3" t="s">
        <v>18</v>
      </c>
      <c r="H39" t="s">
        <v>19</v>
      </c>
      <c r="I39" s="4" t="s">
        <v>271</v>
      </c>
      <c r="J39" s="4" t="s">
        <v>272</v>
      </c>
      <c r="K39" s="5" t="s">
        <v>273</v>
      </c>
      <c r="L39" s="5" t="s">
        <v>165</v>
      </c>
      <c r="M39" s="6">
        <v>4.0000000000000001E-3</v>
      </c>
      <c r="N39" s="6">
        <f t="shared" si="0"/>
        <v>0.2</v>
      </c>
    </row>
    <row r="40" spans="1:14" ht="102" x14ac:dyDescent="0.25">
      <c r="A40" s="3">
        <v>1</v>
      </c>
      <c r="B40" s="3" t="s">
        <v>274</v>
      </c>
      <c r="C40" s="3" t="s">
        <v>125</v>
      </c>
      <c r="D40" s="3" t="s">
        <v>275</v>
      </c>
      <c r="E40" s="3" t="s">
        <v>276</v>
      </c>
      <c r="F40" s="3" t="s">
        <v>17</v>
      </c>
      <c r="G40" s="3" t="s">
        <v>18</v>
      </c>
      <c r="H40" t="s">
        <v>19</v>
      </c>
      <c r="I40" s="4" t="s">
        <v>277</v>
      </c>
      <c r="J40" s="4" t="s">
        <v>278</v>
      </c>
      <c r="K40" s="5" t="s">
        <v>260</v>
      </c>
      <c r="L40" s="5" t="s">
        <v>279</v>
      </c>
      <c r="M40" s="6">
        <v>0.13200000000000001</v>
      </c>
      <c r="N40" s="6">
        <f t="shared" si="0"/>
        <v>0.13200000000000001</v>
      </c>
    </row>
    <row r="41" spans="1:14" ht="102" x14ac:dyDescent="0.25">
      <c r="A41" s="3">
        <v>1</v>
      </c>
      <c r="B41" s="3" t="s">
        <v>280</v>
      </c>
      <c r="C41" s="3" t="s">
        <v>83</v>
      </c>
      <c r="D41" s="3" t="s">
        <v>281</v>
      </c>
      <c r="E41" s="3" t="s">
        <v>282</v>
      </c>
      <c r="F41" s="3" t="s">
        <v>17</v>
      </c>
      <c r="G41" s="3" t="s">
        <v>18</v>
      </c>
      <c r="H41" t="s">
        <v>19</v>
      </c>
      <c r="I41" s="4" t="s">
        <v>283</v>
      </c>
      <c r="J41" s="4" t="s">
        <v>284</v>
      </c>
      <c r="K41" s="5" t="s">
        <v>285</v>
      </c>
      <c r="L41" s="5" t="s">
        <v>165</v>
      </c>
      <c r="M41" s="6">
        <v>4.0000000000000001E-3</v>
      </c>
      <c r="N41" s="6">
        <f t="shared" si="0"/>
        <v>4.0000000000000001E-3</v>
      </c>
    </row>
    <row r="42" spans="1:14" ht="102" x14ac:dyDescent="0.25">
      <c r="A42" s="3">
        <v>1</v>
      </c>
      <c r="B42" s="3" t="s">
        <v>286</v>
      </c>
      <c r="C42" s="3" t="s">
        <v>14</v>
      </c>
      <c r="D42" s="3" t="s">
        <v>287</v>
      </c>
      <c r="E42" s="3" t="s">
        <v>288</v>
      </c>
      <c r="F42" s="3" t="s">
        <v>17</v>
      </c>
      <c r="G42" s="3" t="s">
        <v>18</v>
      </c>
      <c r="H42" t="s">
        <v>19</v>
      </c>
      <c r="I42" s="4" t="s">
        <v>289</v>
      </c>
      <c r="J42" s="4" t="s">
        <v>290</v>
      </c>
      <c r="K42" s="5" t="s">
        <v>291</v>
      </c>
      <c r="L42" s="5" t="s">
        <v>165</v>
      </c>
      <c r="M42" s="6">
        <v>4.0000000000000001E-3</v>
      </c>
      <c r="N42" s="6">
        <f t="shared" si="0"/>
        <v>4.0000000000000001E-3</v>
      </c>
    </row>
    <row r="43" spans="1:14" ht="114.75" x14ac:dyDescent="0.25">
      <c r="A43" s="3">
        <v>2</v>
      </c>
      <c r="B43" s="3" t="s">
        <v>292</v>
      </c>
      <c r="C43" s="3" t="s">
        <v>83</v>
      </c>
      <c r="D43" s="3" t="s">
        <v>293</v>
      </c>
      <c r="E43" s="3" t="s">
        <v>294</v>
      </c>
      <c r="F43" s="3"/>
      <c r="G43" s="3"/>
      <c r="H43" t="s">
        <v>19</v>
      </c>
      <c r="I43" s="4" t="s">
        <v>295</v>
      </c>
      <c r="J43" s="4" t="s">
        <v>296</v>
      </c>
      <c r="K43" s="5" t="s">
        <v>297</v>
      </c>
      <c r="L43" s="5" t="s">
        <v>145</v>
      </c>
      <c r="M43" s="6">
        <v>4.0000000000000001E-3</v>
      </c>
      <c r="N43" s="6">
        <f t="shared" si="0"/>
        <v>8.0000000000000002E-3</v>
      </c>
    </row>
    <row r="44" spans="1:14" ht="76.5" x14ac:dyDescent="0.25">
      <c r="A44" s="3">
        <v>1</v>
      </c>
      <c r="B44" s="3" t="s">
        <v>298</v>
      </c>
      <c r="C44" s="3" t="s">
        <v>125</v>
      </c>
      <c r="D44" s="3" t="s">
        <v>299</v>
      </c>
      <c r="E44" s="3" t="s">
        <v>300</v>
      </c>
      <c r="F44" s="3" t="s">
        <v>17</v>
      </c>
      <c r="G44" s="3" t="s">
        <v>18</v>
      </c>
      <c r="H44" t="s">
        <v>19</v>
      </c>
      <c r="I44" s="4" t="s">
        <v>301</v>
      </c>
      <c r="J44" s="4" t="s">
        <v>302</v>
      </c>
      <c r="K44" s="5" t="s">
        <v>303</v>
      </c>
      <c r="L44" s="5" t="s">
        <v>304</v>
      </c>
      <c r="M44" s="6">
        <v>8.5999999999999993E-2</v>
      </c>
      <c r="N44" s="6">
        <f t="shared" si="0"/>
        <v>8.5999999999999993E-2</v>
      </c>
    </row>
    <row r="45" spans="1:14" x14ac:dyDescent="0.25">
      <c r="A45" s="3">
        <v>24</v>
      </c>
      <c r="B45" s="3" t="s">
        <v>305</v>
      </c>
      <c r="C45" s="3" t="s">
        <v>306</v>
      </c>
      <c r="D45" s="3" t="s">
        <v>307</v>
      </c>
      <c r="E45" s="3" t="s">
        <v>308</v>
      </c>
      <c r="F45" s="3" t="s">
        <v>17</v>
      </c>
      <c r="G45" s="3" t="s">
        <v>18</v>
      </c>
      <c r="H45" t="s">
        <v>19</v>
      </c>
      <c r="I45" s="7"/>
      <c r="J45" s="7" t="s">
        <v>309</v>
      </c>
      <c r="K45" s="8"/>
      <c r="L45" s="8"/>
      <c r="M45" s="9">
        <v>0.3</v>
      </c>
      <c r="N45" s="6">
        <f t="shared" si="0"/>
        <v>7.1999999999999993</v>
      </c>
    </row>
    <row r="46" spans="1:14" ht="114.75" x14ac:dyDescent="0.25">
      <c r="A46" s="3">
        <v>4</v>
      </c>
      <c r="B46" s="3" t="s">
        <v>310</v>
      </c>
      <c r="C46" s="3" t="s">
        <v>125</v>
      </c>
      <c r="D46" s="3" t="s">
        <v>311</v>
      </c>
      <c r="E46" s="3" t="s">
        <v>312</v>
      </c>
      <c r="F46" s="3" t="s">
        <v>17</v>
      </c>
      <c r="G46" s="3" t="s">
        <v>18</v>
      </c>
      <c r="H46" t="s">
        <v>19</v>
      </c>
      <c r="I46" s="4" t="s">
        <v>313</v>
      </c>
      <c r="J46" s="4" t="s">
        <v>314</v>
      </c>
      <c r="K46" s="5" t="s">
        <v>315</v>
      </c>
      <c r="L46" s="5" t="s">
        <v>316</v>
      </c>
      <c r="M46" s="6">
        <v>0.26900000000000002</v>
      </c>
      <c r="N46" s="6">
        <f t="shared" si="0"/>
        <v>1.0760000000000001</v>
      </c>
    </row>
    <row r="47" spans="1:14" ht="76.5" x14ac:dyDescent="0.25">
      <c r="A47" s="3">
        <v>4</v>
      </c>
      <c r="B47" s="3" t="s">
        <v>317</v>
      </c>
      <c r="C47" s="3" t="s">
        <v>318</v>
      </c>
      <c r="D47" s="3" t="s">
        <v>319</v>
      </c>
      <c r="E47" s="3" t="s">
        <v>320</v>
      </c>
      <c r="F47" s="3" t="s">
        <v>17</v>
      </c>
      <c r="G47" s="3" t="s">
        <v>18</v>
      </c>
      <c r="H47" t="s">
        <v>19</v>
      </c>
      <c r="I47" s="4" t="s">
        <v>321</v>
      </c>
      <c r="J47" s="4" t="s">
        <v>322</v>
      </c>
      <c r="K47" s="5" t="s">
        <v>323</v>
      </c>
      <c r="L47" s="5" t="s">
        <v>324</v>
      </c>
      <c r="M47" s="6">
        <v>6.3E-2</v>
      </c>
      <c r="N47" s="6">
        <f t="shared" si="0"/>
        <v>0.252</v>
      </c>
    </row>
    <row r="48" spans="1:14" ht="76.5" x14ac:dyDescent="0.25">
      <c r="A48" s="3">
        <v>34</v>
      </c>
      <c r="B48" s="3" t="s">
        <v>325</v>
      </c>
      <c r="C48" s="3" t="s">
        <v>125</v>
      </c>
      <c r="D48" s="3" t="s">
        <v>326</v>
      </c>
      <c r="E48" s="3" t="s">
        <v>327</v>
      </c>
      <c r="F48" s="3" t="s">
        <v>17</v>
      </c>
      <c r="G48" s="3" t="s">
        <v>18</v>
      </c>
      <c r="H48" t="s">
        <v>19</v>
      </c>
      <c r="I48" s="4" t="s">
        <v>328</v>
      </c>
      <c r="J48" s="4" t="s">
        <v>329</v>
      </c>
      <c r="K48" s="5" t="s">
        <v>330</v>
      </c>
      <c r="L48" s="5" t="s">
        <v>331</v>
      </c>
      <c r="M48" s="6">
        <v>0.224</v>
      </c>
      <c r="N48" s="6">
        <f t="shared" si="0"/>
        <v>7.6160000000000005</v>
      </c>
    </row>
    <row r="49" spans="1:14" ht="102" x14ac:dyDescent="0.25">
      <c r="A49" s="3">
        <v>6</v>
      </c>
      <c r="B49" s="3" t="s">
        <v>332</v>
      </c>
      <c r="C49" s="3" t="s">
        <v>333</v>
      </c>
      <c r="D49" s="3" t="s">
        <v>334</v>
      </c>
      <c r="E49" s="3" t="s">
        <v>335</v>
      </c>
      <c r="F49" s="3" t="s">
        <v>17</v>
      </c>
      <c r="G49" s="3" t="s">
        <v>18</v>
      </c>
      <c r="H49" s="3"/>
      <c r="I49" s="4" t="s">
        <v>336</v>
      </c>
      <c r="J49" s="4" t="s">
        <v>337</v>
      </c>
      <c r="K49" s="5" t="s">
        <v>338</v>
      </c>
      <c r="L49" s="5" t="s">
        <v>339</v>
      </c>
      <c r="M49" s="6">
        <v>4.32</v>
      </c>
      <c r="N49" s="6">
        <f t="shared" si="0"/>
        <v>25.92</v>
      </c>
    </row>
    <row r="50" spans="1:14" ht="89.25" x14ac:dyDescent="0.25">
      <c r="A50" s="3">
        <v>4</v>
      </c>
      <c r="B50" s="3" t="s">
        <v>340</v>
      </c>
      <c r="C50" s="3" t="s">
        <v>341</v>
      </c>
      <c r="D50" s="3" t="s">
        <v>342</v>
      </c>
      <c r="E50" s="3" t="s">
        <v>343</v>
      </c>
      <c r="F50" s="3" t="s">
        <v>17</v>
      </c>
      <c r="G50" s="3" t="s">
        <v>18</v>
      </c>
      <c r="H50" t="s">
        <v>19</v>
      </c>
      <c r="I50" s="4" t="s">
        <v>344</v>
      </c>
      <c r="J50" s="4" t="s">
        <v>345</v>
      </c>
      <c r="K50" s="5" t="s">
        <v>346</v>
      </c>
      <c r="L50" s="5" t="s">
        <v>347</v>
      </c>
      <c r="M50" s="6">
        <v>0.35499999999999998</v>
      </c>
      <c r="N50" s="6">
        <f t="shared" si="0"/>
        <v>1.42</v>
      </c>
    </row>
    <row r="51" spans="1:14" ht="89.25" x14ac:dyDescent="0.25">
      <c r="A51" s="3">
        <v>1</v>
      </c>
      <c r="B51" s="3" t="s">
        <v>348</v>
      </c>
      <c r="C51" s="3" t="s">
        <v>349</v>
      </c>
      <c r="D51" s="3" t="s">
        <v>350</v>
      </c>
      <c r="E51" s="3" t="s">
        <v>351</v>
      </c>
      <c r="F51" s="3" t="s">
        <v>17</v>
      </c>
      <c r="G51" s="3" t="s">
        <v>18</v>
      </c>
      <c r="H51" t="s">
        <v>19</v>
      </c>
      <c r="I51" s="4" t="s">
        <v>352</v>
      </c>
      <c r="J51" s="4" t="s">
        <v>353</v>
      </c>
      <c r="K51" s="5"/>
      <c r="L51" s="5" t="s">
        <v>354</v>
      </c>
      <c r="M51" s="6">
        <v>17.600000000000001</v>
      </c>
      <c r="N51" s="6">
        <f t="shared" si="0"/>
        <v>17.600000000000001</v>
      </c>
    </row>
    <row r="52" spans="1:14" ht="102" x14ac:dyDescent="0.25">
      <c r="A52" s="3">
        <v>46</v>
      </c>
      <c r="B52" s="3" t="s">
        <v>355</v>
      </c>
      <c r="C52" s="3" t="s">
        <v>356</v>
      </c>
      <c r="D52" s="3" t="s">
        <v>357</v>
      </c>
      <c r="E52" s="3" t="s">
        <v>358</v>
      </c>
      <c r="F52" s="3" t="s">
        <v>17</v>
      </c>
      <c r="G52" s="3" t="s">
        <v>18</v>
      </c>
      <c r="H52" t="s">
        <v>19</v>
      </c>
      <c r="I52" s="4" t="s">
        <v>359</v>
      </c>
      <c r="J52" s="4" t="s">
        <v>360</v>
      </c>
      <c r="K52" s="5" t="s">
        <v>361</v>
      </c>
      <c r="L52" s="5" t="s">
        <v>362</v>
      </c>
      <c r="M52" s="6">
        <v>5.0000000000000001E-3</v>
      </c>
      <c r="N52" s="6">
        <f t="shared" si="0"/>
        <v>0.23</v>
      </c>
    </row>
    <row r="53" spans="1:14" ht="114.75" x14ac:dyDescent="0.25">
      <c r="A53" s="3">
        <v>2</v>
      </c>
      <c r="B53" s="3" t="s">
        <v>363</v>
      </c>
      <c r="C53" s="3" t="s">
        <v>32</v>
      </c>
      <c r="D53" s="3" t="s">
        <v>364</v>
      </c>
      <c r="E53" s="3" t="s">
        <v>365</v>
      </c>
      <c r="F53" s="3" t="s">
        <v>17</v>
      </c>
      <c r="G53" s="3" t="s">
        <v>18</v>
      </c>
      <c r="H53" t="s">
        <v>19</v>
      </c>
      <c r="I53" s="4" t="s">
        <v>366</v>
      </c>
      <c r="J53" s="4" t="s">
        <v>367</v>
      </c>
      <c r="K53" s="5"/>
      <c r="L53" s="5" t="s">
        <v>368</v>
      </c>
      <c r="M53" s="6">
        <v>7.1999999999999995E-2</v>
      </c>
      <c r="N53" s="6">
        <f t="shared" si="0"/>
        <v>0.14399999999999999</v>
      </c>
    </row>
    <row r="54" spans="1:14" ht="89.25" x14ac:dyDescent="0.25">
      <c r="A54" s="3">
        <v>8</v>
      </c>
      <c r="B54" s="3" t="s">
        <v>369</v>
      </c>
      <c r="C54" s="3" t="s">
        <v>370</v>
      </c>
      <c r="D54" s="3" t="s">
        <v>371</v>
      </c>
      <c r="E54" s="3" t="s">
        <v>372</v>
      </c>
      <c r="F54" s="3" t="s">
        <v>17</v>
      </c>
      <c r="G54" s="3" t="s">
        <v>18</v>
      </c>
      <c r="H54" t="s">
        <v>19</v>
      </c>
      <c r="I54" s="4" t="s">
        <v>373</v>
      </c>
      <c r="J54" s="4" t="s">
        <v>374</v>
      </c>
      <c r="K54" s="5" t="s">
        <v>375</v>
      </c>
      <c r="L54" s="5" t="s">
        <v>376</v>
      </c>
      <c r="M54" s="6">
        <v>7.3999999999999996E-2</v>
      </c>
      <c r="N54" s="6">
        <f t="shared" si="0"/>
        <v>0.59199999999999997</v>
      </c>
    </row>
    <row r="55" spans="1:14" x14ac:dyDescent="0.25">
      <c r="A55" s="3">
        <v>24</v>
      </c>
      <c r="B55" s="3" t="s">
        <v>377</v>
      </c>
      <c r="C55" s="3" t="s">
        <v>378</v>
      </c>
      <c r="D55" s="3" t="s">
        <v>379</v>
      </c>
      <c r="E55" s="3" t="s">
        <v>380</v>
      </c>
      <c r="F55" s="3" t="s">
        <v>17</v>
      </c>
      <c r="G55" s="3" t="s">
        <v>18</v>
      </c>
      <c r="H55" t="s">
        <v>19</v>
      </c>
      <c r="I55" s="7" t="s">
        <v>381</v>
      </c>
      <c r="J55" s="7" t="s">
        <v>382</v>
      </c>
      <c r="K55" s="8"/>
      <c r="L55" s="8"/>
      <c r="M55" s="9">
        <v>7.0000000000000007E-2</v>
      </c>
      <c r="N55" s="6">
        <f t="shared" si="0"/>
        <v>1.6800000000000002</v>
      </c>
    </row>
    <row r="56" spans="1:14" ht="114.75" x14ac:dyDescent="0.25">
      <c r="A56" s="3">
        <v>12</v>
      </c>
      <c r="B56" s="3" t="s">
        <v>383</v>
      </c>
      <c r="C56" s="3" t="s">
        <v>384</v>
      </c>
      <c r="D56" s="3" t="s">
        <v>385</v>
      </c>
      <c r="E56" s="3" t="s">
        <v>386</v>
      </c>
      <c r="F56" s="3" t="s">
        <v>17</v>
      </c>
      <c r="G56" s="3" t="s">
        <v>18</v>
      </c>
      <c r="H56" t="s">
        <v>19</v>
      </c>
      <c r="I56" s="4" t="s">
        <v>387</v>
      </c>
      <c r="J56" s="4" t="s">
        <v>388</v>
      </c>
      <c r="K56" s="5" t="s">
        <v>389</v>
      </c>
      <c r="L56" s="5" t="s">
        <v>390</v>
      </c>
      <c r="M56" s="6">
        <v>0.27300000000000002</v>
      </c>
      <c r="N56" s="6">
        <f t="shared" si="0"/>
        <v>3.2760000000000002</v>
      </c>
    </row>
    <row r="57" spans="1:14" ht="76.5" x14ac:dyDescent="0.25">
      <c r="A57" s="3">
        <v>2</v>
      </c>
      <c r="B57" s="3" t="s">
        <v>391</v>
      </c>
      <c r="C57" s="3" t="s">
        <v>392</v>
      </c>
      <c r="D57" s="3" t="s">
        <v>393</v>
      </c>
      <c r="E57" s="3" t="s">
        <v>394</v>
      </c>
      <c r="F57" s="3" t="s">
        <v>17</v>
      </c>
      <c r="G57" s="3" t="s">
        <v>18</v>
      </c>
      <c r="H57" t="s">
        <v>19</v>
      </c>
      <c r="I57" s="4" t="s">
        <v>395</v>
      </c>
      <c r="J57" s="4" t="s">
        <v>396</v>
      </c>
      <c r="K57" s="5" t="s">
        <v>397</v>
      </c>
      <c r="L57" s="5" t="s">
        <v>398</v>
      </c>
      <c r="M57" s="6">
        <v>21.35</v>
      </c>
      <c r="N57" s="6">
        <f t="shared" si="0"/>
        <v>42.7</v>
      </c>
    </row>
    <row r="58" spans="1:14" x14ac:dyDescent="0.25">
      <c r="A58" s="3">
        <v>2</v>
      </c>
      <c r="B58" s="3" t="s">
        <v>399</v>
      </c>
      <c r="C58" s="3" t="s">
        <v>400</v>
      </c>
      <c r="D58" s="3" t="s">
        <v>401</v>
      </c>
      <c r="E58" s="3" t="s">
        <v>402</v>
      </c>
      <c r="F58" s="3" t="s">
        <v>17</v>
      </c>
      <c r="G58" s="3" t="s">
        <v>18</v>
      </c>
      <c r="H58" t="s">
        <v>19</v>
      </c>
      <c r="I58" s="7"/>
      <c r="J58" s="7" t="s">
        <v>403</v>
      </c>
      <c r="K58" s="8"/>
      <c r="L58" s="8"/>
      <c r="M58" s="9">
        <v>1</v>
      </c>
      <c r="N58" s="6">
        <f t="shared" si="0"/>
        <v>2</v>
      </c>
    </row>
    <row r="59" spans="1:14" ht="114.75" x14ac:dyDescent="0.25">
      <c r="A59" s="3">
        <v>1</v>
      </c>
      <c r="B59" s="3" t="s">
        <v>404</v>
      </c>
      <c r="C59" s="3" t="s">
        <v>83</v>
      </c>
      <c r="D59" s="3" t="s">
        <v>405</v>
      </c>
      <c r="E59" s="3" t="s">
        <v>406</v>
      </c>
      <c r="F59" s="3" t="s">
        <v>17</v>
      </c>
      <c r="G59" s="3" t="s">
        <v>18</v>
      </c>
      <c r="H59" t="s">
        <v>19</v>
      </c>
      <c r="I59" s="4" t="s">
        <v>407</v>
      </c>
      <c r="J59" s="4" t="s">
        <v>408</v>
      </c>
      <c r="K59" s="5" t="s">
        <v>409</v>
      </c>
      <c r="L59" s="5" t="s">
        <v>145</v>
      </c>
      <c r="M59" s="6">
        <v>4.0000000000000001E-3</v>
      </c>
      <c r="N59" s="6">
        <f t="shared" si="0"/>
        <v>4.0000000000000001E-3</v>
      </c>
    </row>
    <row r="60" spans="1:14" ht="102" x14ac:dyDescent="0.25">
      <c r="A60" s="3">
        <v>8</v>
      </c>
      <c r="B60" s="3" t="s">
        <v>410</v>
      </c>
      <c r="C60" s="3" t="s">
        <v>14</v>
      </c>
      <c r="D60" s="3" t="s">
        <v>411</v>
      </c>
      <c r="E60" s="3" t="s">
        <v>412</v>
      </c>
      <c r="F60" s="3" t="s">
        <v>17</v>
      </c>
      <c r="G60" s="3" t="s">
        <v>18</v>
      </c>
      <c r="H60" t="s">
        <v>19</v>
      </c>
      <c r="I60" s="4" t="s">
        <v>413</v>
      </c>
      <c r="J60" s="4" t="s">
        <v>414</v>
      </c>
      <c r="K60" s="5" t="s">
        <v>415</v>
      </c>
      <c r="L60" s="5" t="s">
        <v>416</v>
      </c>
      <c r="M60" s="6">
        <v>3.7999999999999999E-2</v>
      </c>
      <c r="N60" s="6">
        <f t="shared" si="0"/>
        <v>0.30399999999999999</v>
      </c>
    </row>
    <row r="61" spans="1:14" ht="114.75" x14ac:dyDescent="0.25">
      <c r="A61" s="3">
        <v>29</v>
      </c>
      <c r="B61" s="3" t="s">
        <v>417</v>
      </c>
      <c r="C61" s="3" t="s">
        <v>418</v>
      </c>
      <c r="D61" s="3" t="s">
        <v>419</v>
      </c>
      <c r="E61" s="3" t="s">
        <v>420</v>
      </c>
      <c r="F61" s="3" t="s">
        <v>17</v>
      </c>
      <c r="G61" s="3" t="s">
        <v>18</v>
      </c>
      <c r="H61" t="s">
        <v>19</v>
      </c>
      <c r="I61" s="4" t="s">
        <v>421</v>
      </c>
      <c r="J61" s="4" t="s">
        <v>422</v>
      </c>
      <c r="K61" s="5" t="s">
        <v>423</v>
      </c>
      <c r="L61" s="5" t="s">
        <v>424</v>
      </c>
      <c r="M61" s="6">
        <v>2.1000000000000001E-2</v>
      </c>
      <c r="N61" s="6">
        <f t="shared" si="0"/>
        <v>0.60899999999999999</v>
      </c>
    </row>
    <row r="62" spans="1:14" ht="114.75" x14ac:dyDescent="0.25">
      <c r="A62" s="3">
        <v>6</v>
      </c>
      <c r="B62" s="3" t="s">
        <v>425</v>
      </c>
      <c r="C62" s="3" t="s">
        <v>418</v>
      </c>
      <c r="D62" s="3" t="s">
        <v>426</v>
      </c>
      <c r="E62" s="3" t="s">
        <v>427</v>
      </c>
      <c r="F62" s="3" t="s">
        <v>17</v>
      </c>
      <c r="G62" s="3" t="s">
        <v>18</v>
      </c>
      <c r="H62" t="s">
        <v>19</v>
      </c>
      <c r="I62" s="4" t="s">
        <v>428</v>
      </c>
      <c r="J62" s="4" t="s">
        <v>429</v>
      </c>
      <c r="K62" s="5" t="s">
        <v>430</v>
      </c>
      <c r="L62" s="5" t="s">
        <v>431</v>
      </c>
      <c r="M62" s="6">
        <v>0.02</v>
      </c>
      <c r="N62" s="6">
        <f t="shared" si="0"/>
        <v>0.12</v>
      </c>
    </row>
    <row r="63" spans="1:14" ht="76.5" x14ac:dyDescent="0.25">
      <c r="A63" s="3">
        <v>23</v>
      </c>
      <c r="B63" s="3" t="s">
        <v>432</v>
      </c>
      <c r="C63" s="3" t="s">
        <v>356</v>
      </c>
      <c r="D63" s="3" t="s">
        <v>433</v>
      </c>
      <c r="E63" s="3" t="s">
        <v>434</v>
      </c>
      <c r="F63" s="3" t="s">
        <v>17</v>
      </c>
      <c r="G63" s="3" t="s">
        <v>18</v>
      </c>
      <c r="H63" t="s">
        <v>19</v>
      </c>
      <c r="I63" s="4" t="s">
        <v>435</v>
      </c>
      <c r="J63" s="4" t="s">
        <v>436</v>
      </c>
      <c r="K63" s="5" t="s">
        <v>437</v>
      </c>
      <c r="L63" s="5" t="s">
        <v>438</v>
      </c>
      <c r="M63" s="6">
        <v>0.13600000000000001</v>
      </c>
      <c r="N63" s="6">
        <f t="shared" si="0"/>
        <v>3.1280000000000001</v>
      </c>
    </row>
    <row r="64" spans="1:14" ht="89.25" x14ac:dyDescent="0.25">
      <c r="A64" s="3">
        <v>2</v>
      </c>
      <c r="B64" s="3" t="s">
        <v>439</v>
      </c>
      <c r="C64" s="3" t="s">
        <v>440</v>
      </c>
      <c r="D64" s="3" t="s">
        <v>441</v>
      </c>
      <c r="E64" s="3" t="s">
        <v>442</v>
      </c>
      <c r="F64" s="3" t="s">
        <v>17</v>
      </c>
      <c r="G64" s="3" t="s">
        <v>18</v>
      </c>
      <c r="H64" t="s">
        <v>19</v>
      </c>
      <c r="I64" s="4" t="s">
        <v>443</v>
      </c>
      <c r="J64" s="4" t="s">
        <v>444</v>
      </c>
      <c r="K64" s="5" t="s">
        <v>445</v>
      </c>
      <c r="L64" s="5" t="s">
        <v>446</v>
      </c>
      <c r="M64" s="6">
        <v>0.16500000000000001</v>
      </c>
      <c r="N64" s="6">
        <f t="shared" si="0"/>
        <v>0.33</v>
      </c>
    </row>
    <row r="65" spans="1:14" ht="63.75" x14ac:dyDescent="0.25">
      <c r="A65" s="3">
        <v>1</v>
      </c>
      <c r="B65" s="3" t="s">
        <v>447</v>
      </c>
      <c r="C65" s="3" t="s">
        <v>400</v>
      </c>
      <c r="D65" s="3" t="s">
        <v>448</v>
      </c>
      <c r="E65" s="3" t="s">
        <v>449</v>
      </c>
      <c r="F65" s="3" t="s">
        <v>17</v>
      </c>
      <c r="G65" s="3" t="s">
        <v>18</v>
      </c>
      <c r="H65" t="s">
        <v>19</v>
      </c>
      <c r="I65" s="4" t="s">
        <v>450</v>
      </c>
      <c r="J65" s="4" t="s">
        <v>451</v>
      </c>
      <c r="K65" s="5" t="s">
        <v>260</v>
      </c>
      <c r="L65" s="5" t="s">
        <v>452</v>
      </c>
      <c r="M65" s="6">
        <v>25.48</v>
      </c>
      <c r="N65" s="6">
        <f t="shared" si="0"/>
        <v>25.48</v>
      </c>
    </row>
    <row r="66" spans="1:14" ht="76.5" x14ac:dyDescent="0.25">
      <c r="A66" s="3">
        <v>148</v>
      </c>
      <c r="B66" s="3" t="s">
        <v>453</v>
      </c>
      <c r="C66" s="3" t="s">
        <v>418</v>
      </c>
      <c r="D66" s="3" t="s">
        <v>454</v>
      </c>
      <c r="E66" s="3" t="s">
        <v>455</v>
      </c>
      <c r="F66" s="3" t="s">
        <v>17</v>
      </c>
      <c r="G66" s="3" t="s">
        <v>18</v>
      </c>
      <c r="H66" t="s">
        <v>19</v>
      </c>
      <c r="I66" s="4" t="s">
        <v>456</v>
      </c>
      <c r="J66" s="4" t="s">
        <v>457</v>
      </c>
      <c r="K66" s="5" t="s">
        <v>458</v>
      </c>
      <c r="L66" s="5" t="s">
        <v>459</v>
      </c>
      <c r="M66" s="6">
        <v>0.05</v>
      </c>
      <c r="N66" s="6">
        <f t="shared" ref="N66:N100" si="1">IF(ISNUMBER(M66),A66*M66,"")</f>
        <v>7.4</v>
      </c>
    </row>
    <row r="67" spans="1:14" ht="102" x14ac:dyDescent="0.25">
      <c r="A67" s="3">
        <v>1</v>
      </c>
      <c r="B67" s="3" t="s">
        <v>460</v>
      </c>
      <c r="C67" s="3" t="s">
        <v>461</v>
      </c>
      <c r="D67" s="3" t="s">
        <v>462</v>
      </c>
      <c r="E67" s="3" t="s">
        <v>463</v>
      </c>
      <c r="F67" s="3" t="s">
        <v>17</v>
      </c>
      <c r="G67" s="3" t="s">
        <v>18</v>
      </c>
      <c r="H67" t="s">
        <v>19</v>
      </c>
      <c r="I67" s="4" t="s">
        <v>464</v>
      </c>
      <c r="J67" s="4" t="s">
        <v>465</v>
      </c>
      <c r="K67" s="5" t="s">
        <v>466</v>
      </c>
      <c r="L67" s="5" t="s">
        <v>467</v>
      </c>
      <c r="M67" s="6">
        <v>2.92</v>
      </c>
      <c r="N67" s="6">
        <f t="shared" si="1"/>
        <v>2.92</v>
      </c>
    </row>
    <row r="68" spans="1:14" ht="76.5" x14ac:dyDescent="0.25">
      <c r="A68" s="3">
        <v>44</v>
      </c>
      <c r="B68" s="3" t="s">
        <v>468</v>
      </c>
      <c r="C68" s="3" t="s">
        <v>125</v>
      </c>
      <c r="D68" s="3" t="s">
        <v>469</v>
      </c>
      <c r="E68" s="3" t="s">
        <v>470</v>
      </c>
      <c r="F68" s="3" t="s">
        <v>17</v>
      </c>
      <c r="G68" s="3" t="s">
        <v>18</v>
      </c>
      <c r="H68" t="s">
        <v>19</v>
      </c>
      <c r="I68" s="4" t="s">
        <v>471</v>
      </c>
      <c r="J68" s="4" t="s">
        <v>472</v>
      </c>
      <c r="K68" s="5" t="s">
        <v>473</v>
      </c>
      <c r="L68" s="5" t="s">
        <v>474</v>
      </c>
      <c r="M68" s="6">
        <v>0.83799999999999997</v>
      </c>
      <c r="N68" s="6">
        <f t="shared" si="1"/>
        <v>36.872</v>
      </c>
    </row>
    <row r="69" spans="1:14" ht="25.5" x14ac:dyDescent="0.25">
      <c r="A69" s="3">
        <v>1</v>
      </c>
      <c r="B69" s="3" t="s">
        <v>475</v>
      </c>
      <c r="C69" s="3" t="s">
        <v>476</v>
      </c>
      <c r="D69" s="3" t="s">
        <v>477</v>
      </c>
      <c r="E69" s="3" t="s">
        <v>478</v>
      </c>
      <c r="F69" s="3" t="s">
        <v>17</v>
      </c>
      <c r="G69" s="3" t="s">
        <v>18</v>
      </c>
      <c r="H69" s="3"/>
      <c r="I69" s="7" t="s">
        <v>479</v>
      </c>
      <c r="J69" s="7" t="s">
        <v>480</v>
      </c>
      <c r="K69" s="8"/>
      <c r="L69" s="8"/>
      <c r="M69" s="9">
        <v>32</v>
      </c>
      <c r="N69" s="6">
        <f t="shared" si="1"/>
        <v>32</v>
      </c>
    </row>
    <row r="70" spans="1:14" x14ac:dyDescent="0.25">
      <c r="A70" s="3">
        <v>211</v>
      </c>
      <c r="B70" s="3" t="s">
        <v>481</v>
      </c>
      <c r="C70" s="3" t="s">
        <v>482</v>
      </c>
      <c r="D70" s="3" t="s">
        <v>483</v>
      </c>
      <c r="E70" s="3" t="s">
        <v>484</v>
      </c>
      <c r="F70" s="3" t="s">
        <v>17</v>
      </c>
      <c r="G70" s="3" t="s">
        <v>18</v>
      </c>
      <c r="H70" s="3"/>
      <c r="I70" s="7" t="s">
        <v>381</v>
      </c>
      <c r="J70" s="7"/>
      <c r="K70" s="8"/>
      <c r="L70" s="8"/>
      <c r="M70" s="9">
        <v>0.2</v>
      </c>
      <c r="N70" s="6">
        <f t="shared" si="1"/>
        <v>42.2</v>
      </c>
    </row>
    <row r="71" spans="1:14" ht="76.5" x14ac:dyDescent="0.25">
      <c r="A71" s="3">
        <v>1</v>
      </c>
      <c r="B71" s="3" t="s">
        <v>485</v>
      </c>
      <c r="C71" s="3" t="s">
        <v>418</v>
      </c>
      <c r="D71" s="3" t="s">
        <v>486</v>
      </c>
      <c r="E71" s="3" t="s">
        <v>487</v>
      </c>
      <c r="F71" s="3"/>
      <c r="G71" s="3"/>
      <c r="H71" s="3"/>
      <c r="I71" s="4" t="s">
        <v>488</v>
      </c>
      <c r="J71" s="4" t="s">
        <v>489</v>
      </c>
      <c r="K71" s="5"/>
      <c r="L71" s="5" t="s">
        <v>490</v>
      </c>
      <c r="M71" s="6">
        <v>0.27200000000000002</v>
      </c>
      <c r="N71" s="6">
        <f t="shared" si="1"/>
        <v>0.27200000000000002</v>
      </c>
    </row>
    <row r="72" spans="1:14" ht="114.75" x14ac:dyDescent="0.25">
      <c r="A72" s="3">
        <v>1</v>
      </c>
      <c r="B72" s="3" t="s">
        <v>491</v>
      </c>
      <c r="C72" s="3" t="s">
        <v>14</v>
      </c>
      <c r="D72" s="3" t="s">
        <v>492</v>
      </c>
      <c r="E72" s="3" t="s">
        <v>493</v>
      </c>
      <c r="F72" s="3"/>
      <c r="G72" s="3"/>
      <c r="H72" t="s">
        <v>19</v>
      </c>
      <c r="I72" s="4" t="s">
        <v>494</v>
      </c>
      <c r="J72" s="4" t="s">
        <v>495</v>
      </c>
      <c r="K72" s="5" t="s">
        <v>496</v>
      </c>
      <c r="L72" s="5" t="s">
        <v>497</v>
      </c>
      <c r="M72" s="6">
        <v>0.123</v>
      </c>
      <c r="N72" s="6">
        <f t="shared" si="1"/>
        <v>0.123</v>
      </c>
    </row>
    <row r="73" spans="1:14" ht="38.25" x14ac:dyDescent="0.25">
      <c r="A73" s="3">
        <v>1</v>
      </c>
      <c r="B73" s="3" t="s">
        <v>498</v>
      </c>
      <c r="C73" s="3" t="s">
        <v>440</v>
      </c>
      <c r="D73" s="3" t="s">
        <v>499</v>
      </c>
      <c r="E73" s="3" t="s">
        <v>500</v>
      </c>
      <c r="F73" s="3"/>
      <c r="G73" s="3"/>
      <c r="H73" s="3"/>
      <c r="I73" s="4" t="s">
        <v>501</v>
      </c>
      <c r="J73" s="4" t="s">
        <v>502</v>
      </c>
      <c r="K73" s="5" t="s">
        <v>260</v>
      </c>
      <c r="L73" s="5" t="s">
        <v>503</v>
      </c>
      <c r="M73" s="6">
        <v>76.36</v>
      </c>
      <c r="N73" s="6">
        <f t="shared" si="1"/>
        <v>76.36</v>
      </c>
    </row>
    <row r="74" spans="1:14" ht="25.5" x14ac:dyDescent="0.25">
      <c r="A74" s="3">
        <v>1</v>
      </c>
      <c r="B74" s="3" t="s">
        <v>504</v>
      </c>
      <c r="C74" s="3" t="s">
        <v>505</v>
      </c>
      <c r="D74" s="3" t="s">
        <v>506</v>
      </c>
      <c r="E74" s="3" t="s">
        <v>507</v>
      </c>
      <c r="F74" s="3" t="s">
        <v>17</v>
      </c>
      <c r="G74" s="3" t="s">
        <v>18</v>
      </c>
      <c r="H74" s="3"/>
      <c r="I74" s="4" t="s">
        <v>508</v>
      </c>
      <c r="J74" s="4" t="s">
        <v>509</v>
      </c>
      <c r="K74" s="5" t="s">
        <v>260</v>
      </c>
      <c r="L74" s="5" t="s">
        <v>510</v>
      </c>
      <c r="M74" s="6">
        <v>1055.56</v>
      </c>
      <c r="N74" s="6">
        <f t="shared" si="1"/>
        <v>1055.56</v>
      </c>
    </row>
    <row r="75" spans="1:14" ht="114.75" x14ac:dyDescent="0.25">
      <c r="A75" s="3">
        <v>1</v>
      </c>
      <c r="B75" s="3" t="s">
        <v>511</v>
      </c>
      <c r="C75" s="3" t="s">
        <v>512</v>
      </c>
      <c r="D75" s="3" t="s">
        <v>513</v>
      </c>
      <c r="E75" s="3" t="s">
        <v>514</v>
      </c>
      <c r="F75" s="3"/>
      <c r="G75" s="3"/>
      <c r="H75" s="3"/>
      <c r="I75" s="4" t="s">
        <v>515</v>
      </c>
      <c r="J75" s="4" t="s">
        <v>516</v>
      </c>
      <c r="K75" s="5" t="s">
        <v>517</v>
      </c>
      <c r="L75" s="5" t="s">
        <v>518</v>
      </c>
      <c r="M75" s="6">
        <v>1.39</v>
      </c>
      <c r="N75" s="6">
        <f t="shared" si="1"/>
        <v>1.39</v>
      </c>
    </row>
    <row r="76" spans="1:14" ht="25.5" x14ac:dyDescent="0.25">
      <c r="A76" s="3">
        <v>1</v>
      </c>
      <c r="B76" s="3" t="s">
        <v>519</v>
      </c>
      <c r="C76" s="3" t="s">
        <v>476</v>
      </c>
      <c r="D76" s="3" t="s">
        <v>520</v>
      </c>
      <c r="E76" s="3" t="s">
        <v>521</v>
      </c>
      <c r="F76" s="3" t="s">
        <v>17</v>
      </c>
      <c r="G76" s="3" t="s">
        <v>18</v>
      </c>
      <c r="H76" s="3"/>
      <c r="I76" s="7" t="s">
        <v>522</v>
      </c>
      <c r="J76" s="7" t="s">
        <v>523</v>
      </c>
      <c r="K76" s="8"/>
      <c r="L76" s="8"/>
      <c r="M76" s="9">
        <v>110</v>
      </c>
      <c r="N76" s="6">
        <f t="shared" si="1"/>
        <v>110</v>
      </c>
    </row>
    <row r="77" spans="1:14" ht="63.75" x14ac:dyDescent="0.25">
      <c r="A77" s="3">
        <v>2</v>
      </c>
      <c r="B77" s="3" t="s">
        <v>524</v>
      </c>
      <c r="C77" s="3" t="s">
        <v>392</v>
      </c>
      <c r="D77" s="3" t="s">
        <v>525</v>
      </c>
      <c r="E77" s="3" t="s">
        <v>526</v>
      </c>
      <c r="F77" s="3" t="s">
        <v>17</v>
      </c>
      <c r="G77" s="3" t="s">
        <v>18</v>
      </c>
      <c r="H77" s="3"/>
      <c r="I77" s="4" t="s">
        <v>527</v>
      </c>
      <c r="J77" s="4" t="s">
        <v>528</v>
      </c>
      <c r="K77" s="5"/>
      <c r="L77" s="5" t="s">
        <v>529</v>
      </c>
      <c r="M77" s="6">
        <v>26.6</v>
      </c>
      <c r="N77" s="6">
        <f t="shared" si="1"/>
        <v>53.2</v>
      </c>
    </row>
    <row r="78" spans="1:14" ht="76.5" x14ac:dyDescent="0.25">
      <c r="A78" s="3">
        <v>7</v>
      </c>
      <c r="B78" s="3" t="s">
        <v>530</v>
      </c>
      <c r="C78" s="3" t="s">
        <v>392</v>
      </c>
      <c r="D78" s="3" t="s">
        <v>531</v>
      </c>
      <c r="E78" s="3" t="s">
        <v>532</v>
      </c>
      <c r="F78" s="3"/>
      <c r="G78" s="3"/>
      <c r="H78" s="3"/>
      <c r="I78" s="4" t="s">
        <v>533</v>
      </c>
      <c r="J78" s="4" t="s">
        <v>534</v>
      </c>
      <c r="K78" s="5"/>
      <c r="L78" s="5" t="s">
        <v>535</v>
      </c>
      <c r="M78" s="6">
        <v>10.76</v>
      </c>
      <c r="N78" s="6">
        <f t="shared" si="1"/>
        <v>75.319999999999993</v>
      </c>
    </row>
    <row r="79" spans="1:14" ht="89.25" x14ac:dyDescent="0.25">
      <c r="A79" s="3">
        <v>3</v>
      </c>
      <c r="B79" s="3" t="s">
        <v>536</v>
      </c>
      <c r="C79" s="3" t="s">
        <v>392</v>
      </c>
      <c r="D79" s="3" t="s">
        <v>537</v>
      </c>
      <c r="E79" s="3" t="s">
        <v>538</v>
      </c>
      <c r="F79" s="3" t="s">
        <v>17</v>
      </c>
      <c r="G79" s="3" t="s">
        <v>18</v>
      </c>
      <c r="H79" s="3"/>
      <c r="I79" s="4" t="s">
        <v>539</v>
      </c>
      <c r="J79" s="4" t="s">
        <v>540</v>
      </c>
      <c r="K79" s="5"/>
      <c r="L79" s="5" t="s">
        <v>541</v>
      </c>
      <c r="M79" s="6">
        <v>5.79</v>
      </c>
      <c r="N79" s="6">
        <f t="shared" si="1"/>
        <v>17.37</v>
      </c>
    </row>
    <row r="80" spans="1:14" ht="38.25" x14ac:dyDescent="0.25">
      <c r="A80" s="3">
        <v>1</v>
      </c>
      <c r="B80" s="3" t="s">
        <v>542</v>
      </c>
      <c r="C80" s="3" t="s">
        <v>476</v>
      </c>
      <c r="D80" s="3" t="s">
        <v>543</v>
      </c>
      <c r="E80" s="3" t="s">
        <v>544</v>
      </c>
      <c r="F80" s="3" t="s">
        <v>17</v>
      </c>
      <c r="G80" s="3" t="s">
        <v>18</v>
      </c>
      <c r="H80" s="3"/>
      <c r="I80" s="7" t="s">
        <v>545</v>
      </c>
      <c r="J80" s="7" t="s">
        <v>546</v>
      </c>
      <c r="K80" s="8"/>
      <c r="L80" s="8"/>
      <c r="M80" s="9">
        <v>66</v>
      </c>
      <c r="N80" s="6">
        <f t="shared" si="1"/>
        <v>66</v>
      </c>
    </row>
    <row r="81" spans="1:14" x14ac:dyDescent="0.25">
      <c r="A81" s="3">
        <v>1</v>
      </c>
      <c r="B81" s="3" t="s">
        <v>547</v>
      </c>
      <c r="C81" s="3" t="s">
        <v>548</v>
      </c>
      <c r="D81" s="3" t="s">
        <v>549</v>
      </c>
      <c r="E81" s="3" t="s">
        <v>550</v>
      </c>
      <c r="F81" s="3"/>
      <c r="G81" s="3"/>
      <c r="H81" s="3"/>
      <c r="I81" s="7" t="s">
        <v>381</v>
      </c>
      <c r="J81" s="7" t="s">
        <v>551</v>
      </c>
      <c r="K81" s="8"/>
      <c r="L81" s="8"/>
      <c r="M81" s="9">
        <v>8</v>
      </c>
      <c r="N81" s="6">
        <f t="shared" si="1"/>
        <v>8</v>
      </c>
    </row>
    <row r="82" spans="1:14" x14ac:dyDescent="0.25">
      <c r="A82" s="3">
        <v>4</v>
      </c>
      <c r="B82" s="3" t="s">
        <v>552</v>
      </c>
      <c r="C82" s="3" t="s">
        <v>553</v>
      </c>
      <c r="D82" s="3" t="s">
        <v>554</v>
      </c>
      <c r="E82" s="3" t="s">
        <v>555</v>
      </c>
      <c r="F82" s="3" t="s">
        <v>17</v>
      </c>
      <c r="G82" s="3" t="s">
        <v>18</v>
      </c>
      <c r="H82" t="s">
        <v>19</v>
      </c>
      <c r="I82" s="7"/>
      <c r="J82" s="7" t="s">
        <v>403</v>
      </c>
      <c r="K82" s="8"/>
      <c r="L82" s="8"/>
      <c r="M82" s="9">
        <v>1</v>
      </c>
      <c r="N82" s="6">
        <f t="shared" si="1"/>
        <v>4</v>
      </c>
    </row>
    <row r="83" spans="1:14" ht="25.5" x14ac:dyDescent="0.25">
      <c r="A83" s="3">
        <v>1</v>
      </c>
      <c r="B83" s="3" t="s">
        <v>556</v>
      </c>
      <c r="C83" s="3" t="s">
        <v>476</v>
      </c>
      <c r="D83" s="3" t="s">
        <v>557</v>
      </c>
      <c r="E83" s="3" t="s">
        <v>558</v>
      </c>
      <c r="F83" s="3" t="s">
        <v>17</v>
      </c>
      <c r="G83" s="3" t="s">
        <v>18</v>
      </c>
      <c r="H83" s="3"/>
      <c r="I83" s="7" t="s">
        <v>559</v>
      </c>
      <c r="J83" s="7" t="s">
        <v>560</v>
      </c>
      <c r="K83" s="8"/>
      <c r="L83" s="8"/>
      <c r="M83" s="9">
        <v>190</v>
      </c>
      <c r="N83" s="6">
        <f t="shared" si="1"/>
        <v>190</v>
      </c>
    </row>
    <row r="84" spans="1:14" ht="114.75" x14ac:dyDescent="0.25">
      <c r="A84" s="3">
        <v>42</v>
      </c>
      <c r="B84" s="3" t="s">
        <v>561</v>
      </c>
      <c r="C84" s="3" t="s">
        <v>133</v>
      </c>
      <c r="D84" s="3" t="s">
        <v>562</v>
      </c>
      <c r="E84" s="3" t="s">
        <v>563</v>
      </c>
      <c r="F84" s="3" t="s">
        <v>17</v>
      </c>
      <c r="G84" s="3" t="s">
        <v>18</v>
      </c>
      <c r="H84" s="3"/>
      <c r="I84" s="4" t="s">
        <v>564</v>
      </c>
      <c r="J84" s="4" t="s">
        <v>565</v>
      </c>
      <c r="K84" s="5" t="s">
        <v>566</v>
      </c>
      <c r="L84" s="5" t="s">
        <v>567</v>
      </c>
      <c r="M84" s="6">
        <v>4.3999999999999997E-2</v>
      </c>
      <c r="N84" s="6">
        <f t="shared" si="1"/>
        <v>1.8479999999999999</v>
      </c>
    </row>
    <row r="85" spans="1:14" ht="102" x14ac:dyDescent="0.25">
      <c r="A85" s="3">
        <v>2</v>
      </c>
      <c r="B85" s="3" t="s">
        <v>568</v>
      </c>
      <c r="C85" s="3" t="s">
        <v>392</v>
      </c>
      <c r="D85" s="3" t="s">
        <v>569</v>
      </c>
      <c r="E85" s="3" t="s">
        <v>570</v>
      </c>
      <c r="F85" s="3" t="s">
        <v>17</v>
      </c>
      <c r="G85" s="3" t="s">
        <v>18</v>
      </c>
      <c r="H85" s="3"/>
      <c r="I85" s="4" t="s">
        <v>571</v>
      </c>
      <c r="J85" s="4" t="s">
        <v>572</v>
      </c>
      <c r="K85" s="5" t="s">
        <v>573</v>
      </c>
      <c r="L85" s="5" t="s">
        <v>574</v>
      </c>
      <c r="M85" s="6">
        <v>8.4499999999999993</v>
      </c>
      <c r="N85" s="6">
        <f t="shared" si="1"/>
        <v>16.899999999999999</v>
      </c>
    </row>
    <row r="86" spans="1:14" ht="114.75" x14ac:dyDescent="0.25">
      <c r="A86" s="3">
        <v>10</v>
      </c>
      <c r="B86" s="3" t="s">
        <v>575</v>
      </c>
      <c r="C86" s="3" t="s">
        <v>133</v>
      </c>
      <c r="D86" s="3" t="s">
        <v>576</v>
      </c>
      <c r="E86" s="3" t="s">
        <v>577</v>
      </c>
      <c r="F86" s="3" t="s">
        <v>17</v>
      </c>
      <c r="G86" s="3" t="s">
        <v>18</v>
      </c>
      <c r="H86" s="3"/>
      <c r="I86" s="4" t="s">
        <v>578</v>
      </c>
      <c r="J86" s="4" t="s">
        <v>579</v>
      </c>
      <c r="K86" s="5" t="s">
        <v>580</v>
      </c>
      <c r="L86" s="5" t="s">
        <v>581</v>
      </c>
      <c r="M86" s="6">
        <v>0.112</v>
      </c>
      <c r="N86" s="6">
        <f t="shared" si="1"/>
        <v>1.1200000000000001</v>
      </c>
    </row>
    <row r="87" spans="1:14" x14ac:dyDescent="0.25">
      <c r="A87" s="3">
        <v>1</v>
      </c>
      <c r="B87" s="3" t="s">
        <v>582</v>
      </c>
      <c r="C87" s="3" t="s">
        <v>583</v>
      </c>
      <c r="D87" s="3" t="s">
        <v>584</v>
      </c>
      <c r="E87" s="3" t="s">
        <v>585</v>
      </c>
      <c r="F87" s="3" t="s">
        <v>17</v>
      </c>
      <c r="G87" s="3" t="s">
        <v>18</v>
      </c>
      <c r="H87" s="3"/>
      <c r="I87" s="7"/>
      <c r="J87" s="7" t="s">
        <v>403</v>
      </c>
      <c r="K87" s="8"/>
      <c r="L87" s="8"/>
      <c r="M87" s="9">
        <v>1</v>
      </c>
      <c r="N87" s="6">
        <f t="shared" si="1"/>
        <v>1</v>
      </c>
    </row>
    <row r="88" spans="1:14" ht="102" x14ac:dyDescent="0.25">
      <c r="A88" s="3">
        <v>1</v>
      </c>
      <c r="B88" s="3" t="s">
        <v>586</v>
      </c>
      <c r="C88" s="3" t="s">
        <v>583</v>
      </c>
      <c r="D88" s="3" t="s">
        <v>587</v>
      </c>
      <c r="E88" s="3"/>
      <c r="F88" s="3"/>
      <c r="G88" s="3"/>
      <c r="H88" s="3" t="s">
        <v>588</v>
      </c>
      <c r="I88" s="4" t="s">
        <v>589</v>
      </c>
      <c r="J88" s="4" t="s">
        <v>590</v>
      </c>
      <c r="K88" s="5" t="s">
        <v>591</v>
      </c>
      <c r="L88" s="5" t="s">
        <v>592</v>
      </c>
      <c r="M88" s="6">
        <v>9.23</v>
      </c>
      <c r="N88" s="6">
        <f t="shared" si="1"/>
        <v>9.23</v>
      </c>
    </row>
    <row r="89" spans="1:14" ht="102" x14ac:dyDescent="0.25">
      <c r="A89" s="3">
        <v>1</v>
      </c>
      <c r="B89" s="3" t="s">
        <v>593</v>
      </c>
      <c r="C89" s="3" t="s">
        <v>594</v>
      </c>
      <c r="D89" s="3" t="s">
        <v>595</v>
      </c>
      <c r="E89" s="3"/>
      <c r="F89" s="3"/>
      <c r="G89" s="3"/>
      <c r="H89" s="3" t="s">
        <v>588</v>
      </c>
      <c r="I89" s="4" t="s">
        <v>596</v>
      </c>
      <c r="J89" s="4" t="s">
        <v>597</v>
      </c>
      <c r="K89" s="5" t="s">
        <v>598</v>
      </c>
      <c r="L89" s="5" t="s">
        <v>599</v>
      </c>
      <c r="M89" s="6">
        <v>10.76</v>
      </c>
      <c r="N89" s="6">
        <f t="shared" si="1"/>
        <v>10.76</v>
      </c>
    </row>
    <row r="90" spans="1:14" ht="89.25" x14ac:dyDescent="0.25">
      <c r="A90" s="3">
        <v>1</v>
      </c>
      <c r="B90" s="3" t="s">
        <v>600</v>
      </c>
      <c r="C90" s="3" t="s">
        <v>594</v>
      </c>
      <c r="D90" s="3" t="s">
        <v>601</v>
      </c>
      <c r="E90" s="3"/>
      <c r="F90" s="3"/>
      <c r="G90" s="3"/>
      <c r="H90" s="3" t="s">
        <v>588</v>
      </c>
      <c r="I90" s="4" t="s">
        <v>602</v>
      </c>
      <c r="J90" s="4" t="s">
        <v>603</v>
      </c>
      <c r="K90" s="5" t="s">
        <v>591</v>
      </c>
      <c r="L90" s="5" t="s">
        <v>604</v>
      </c>
      <c r="M90" s="6">
        <v>12.2</v>
      </c>
      <c r="N90" s="6">
        <f t="shared" si="1"/>
        <v>12.2</v>
      </c>
    </row>
    <row r="91" spans="1:14" ht="51" x14ac:dyDescent="0.25">
      <c r="A91" s="3">
        <v>1</v>
      </c>
      <c r="B91" s="3" t="s">
        <v>605</v>
      </c>
      <c r="C91" s="3" t="s">
        <v>583</v>
      </c>
      <c r="D91" s="3" t="s">
        <v>606</v>
      </c>
      <c r="E91" s="3" t="s">
        <v>607</v>
      </c>
      <c r="F91" s="3" t="s">
        <v>17</v>
      </c>
      <c r="G91" s="3" t="s">
        <v>18</v>
      </c>
      <c r="H91" s="3"/>
      <c r="I91" s="4" t="s">
        <v>608</v>
      </c>
      <c r="J91" s="4" t="s">
        <v>609</v>
      </c>
      <c r="K91" s="5" t="s">
        <v>260</v>
      </c>
      <c r="L91" s="5" t="s">
        <v>610</v>
      </c>
      <c r="M91" s="6">
        <v>9.7899999999999991</v>
      </c>
      <c r="N91" s="6">
        <f t="shared" si="1"/>
        <v>9.7899999999999991</v>
      </c>
    </row>
    <row r="92" spans="1:14" ht="114.75" x14ac:dyDescent="0.25">
      <c r="A92" s="3">
        <v>2</v>
      </c>
      <c r="B92" s="3" t="s">
        <v>611</v>
      </c>
      <c r="C92" s="3" t="s">
        <v>68</v>
      </c>
      <c r="D92" s="3" t="s">
        <v>612</v>
      </c>
      <c r="E92" s="3" t="s">
        <v>613</v>
      </c>
      <c r="F92" s="3"/>
      <c r="G92" s="3"/>
      <c r="H92" t="s">
        <v>19</v>
      </c>
      <c r="I92" s="4" t="s">
        <v>614</v>
      </c>
      <c r="J92" s="4" t="s">
        <v>615</v>
      </c>
      <c r="K92" s="5" t="s">
        <v>616</v>
      </c>
      <c r="L92" s="5" t="s">
        <v>617</v>
      </c>
      <c r="M92" s="6">
        <v>0.123</v>
      </c>
      <c r="N92" s="6">
        <f t="shared" si="1"/>
        <v>0.246</v>
      </c>
    </row>
    <row r="93" spans="1:14" ht="102" x14ac:dyDescent="0.25">
      <c r="A93" s="3">
        <v>4</v>
      </c>
      <c r="B93" s="3" t="s">
        <v>618</v>
      </c>
      <c r="C93" s="3" t="s">
        <v>418</v>
      </c>
      <c r="D93" s="3" t="s">
        <v>619</v>
      </c>
      <c r="E93" s="3" t="s">
        <v>620</v>
      </c>
      <c r="F93" s="3"/>
      <c r="G93" s="3"/>
      <c r="H93" s="3"/>
      <c r="I93" s="4" t="s">
        <v>621</v>
      </c>
      <c r="J93" s="4" t="s">
        <v>622</v>
      </c>
      <c r="K93" s="5" t="s">
        <v>623</v>
      </c>
      <c r="L93" s="5" t="s">
        <v>624</v>
      </c>
      <c r="M93" s="6">
        <v>0.72399999999999998</v>
      </c>
      <c r="N93" s="6">
        <f t="shared" si="1"/>
        <v>2.8959999999999999</v>
      </c>
    </row>
    <row r="94" spans="1:14" ht="76.5" x14ac:dyDescent="0.25">
      <c r="A94" s="3">
        <v>1</v>
      </c>
      <c r="B94" s="3" t="s">
        <v>625</v>
      </c>
      <c r="C94" s="3" t="s">
        <v>626</v>
      </c>
      <c r="D94" s="3" t="s">
        <v>627</v>
      </c>
      <c r="E94" s="3" t="s">
        <v>628</v>
      </c>
      <c r="F94" s="3"/>
      <c r="G94" s="3"/>
      <c r="H94" s="3"/>
      <c r="I94" s="4" t="s">
        <v>629</v>
      </c>
      <c r="J94" s="4" t="s">
        <v>630</v>
      </c>
      <c r="K94" s="5"/>
      <c r="L94" s="5" t="s">
        <v>631</v>
      </c>
      <c r="M94" s="6">
        <v>12.34</v>
      </c>
      <c r="N94" s="6">
        <f t="shared" si="1"/>
        <v>12.34</v>
      </c>
    </row>
    <row r="95" spans="1:14" ht="102" x14ac:dyDescent="0.25">
      <c r="A95" s="3">
        <v>1</v>
      </c>
      <c r="B95" s="3" t="s">
        <v>632</v>
      </c>
      <c r="C95" s="3" t="s">
        <v>392</v>
      </c>
      <c r="D95" s="3" t="s">
        <v>633</v>
      </c>
      <c r="E95" s="3" t="s">
        <v>634</v>
      </c>
      <c r="F95" s="3" t="s">
        <v>17</v>
      </c>
      <c r="G95" s="3" t="s">
        <v>18</v>
      </c>
      <c r="H95" s="3"/>
      <c r="I95" s="4" t="s">
        <v>635</v>
      </c>
      <c r="J95" s="4" t="s">
        <v>636</v>
      </c>
      <c r="K95" s="5" t="s">
        <v>637</v>
      </c>
      <c r="L95" s="5" t="s">
        <v>638</v>
      </c>
      <c r="M95" s="6">
        <v>2.4</v>
      </c>
      <c r="N95" s="6">
        <f t="shared" si="1"/>
        <v>2.4</v>
      </c>
    </row>
    <row r="96" spans="1:14" ht="114.75" x14ac:dyDescent="0.25">
      <c r="A96" s="3">
        <v>7</v>
      </c>
      <c r="B96" s="3" t="s">
        <v>639</v>
      </c>
      <c r="C96" s="3" t="s">
        <v>14</v>
      </c>
      <c r="D96" s="3" t="s">
        <v>640</v>
      </c>
      <c r="E96" s="3" t="s">
        <v>641</v>
      </c>
      <c r="F96" s="3"/>
      <c r="G96" s="3"/>
      <c r="H96" t="s">
        <v>19</v>
      </c>
      <c r="I96" s="4" t="s">
        <v>642</v>
      </c>
      <c r="J96" s="4" t="s">
        <v>643</v>
      </c>
      <c r="K96" s="5" t="s">
        <v>644</v>
      </c>
      <c r="L96" s="5" t="s">
        <v>145</v>
      </c>
      <c r="M96" s="6">
        <v>4.0000000000000001E-3</v>
      </c>
      <c r="N96" s="6">
        <f t="shared" si="1"/>
        <v>2.8000000000000001E-2</v>
      </c>
    </row>
    <row r="97" spans="1:14" ht="114.75" x14ac:dyDescent="0.25">
      <c r="A97" s="3">
        <v>1</v>
      </c>
      <c r="B97" s="3" t="s">
        <v>645</v>
      </c>
      <c r="C97" s="3" t="s">
        <v>83</v>
      </c>
      <c r="D97" s="3" t="s">
        <v>646</v>
      </c>
      <c r="E97" s="3" t="s">
        <v>647</v>
      </c>
      <c r="F97" s="3" t="s">
        <v>17</v>
      </c>
      <c r="G97" s="3" t="s">
        <v>18</v>
      </c>
      <c r="H97" t="s">
        <v>19</v>
      </c>
      <c r="I97" s="4" t="s">
        <v>648</v>
      </c>
      <c r="J97" s="4" t="s">
        <v>649</v>
      </c>
      <c r="K97" s="5" t="s">
        <v>650</v>
      </c>
      <c r="L97" s="5" t="s">
        <v>190</v>
      </c>
      <c r="M97" s="6">
        <v>2.1000000000000001E-2</v>
      </c>
      <c r="N97" s="6">
        <f t="shared" si="1"/>
        <v>2.1000000000000001E-2</v>
      </c>
    </row>
    <row r="98" spans="1:14" ht="114.75" x14ac:dyDescent="0.25">
      <c r="A98" s="3">
        <v>4</v>
      </c>
      <c r="B98" s="3" t="s">
        <v>651</v>
      </c>
      <c r="C98" s="3" t="s">
        <v>125</v>
      </c>
      <c r="D98" s="3" t="s">
        <v>652</v>
      </c>
      <c r="E98" s="3" t="s">
        <v>653</v>
      </c>
      <c r="F98" s="3" t="s">
        <v>17</v>
      </c>
      <c r="G98" s="3" t="s">
        <v>18</v>
      </c>
      <c r="H98" t="s">
        <v>19</v>
      </c>
      <c r="I98" s="4" t="s">
        <v>654</v>
      </c>
      <c r="J98" s="4" t="s">
        <v>655</v>
      </c>
      <c r="K98" s="5" t="s">
        <v>656</v>
      </c>
      <c r="L98" s="5" t="s">
        <v>657</v>
      </c>
      <c r="M98" s="6">
        <v>4.5999999999999999E-2</v>
      </c>
      <c r="N98" s="6">
        <f t="shared" si="1"/>
        <v>0.184</v>
      </c>
    </row>
    <row r="99" spans="1:14" ht="102" x14ac:dyDescent="0.25">
      <c r="A99" s="3">
        <v>10</v>
      </c>
      <c r="B99" s="3" t="s">
        <v>658</v>
      </c>
      <c r="C99" s="3" t="s">
        <v>418</v>
      </c>
      <c r="D99" s="3" t="s">
        <v>659</v>
      </c>
      <c r="E99" s="3" t="s">
        <v>660</v>
      </c>
      <c r="F99" s="3" t="s">
        <v>17</v>
      </c>
      <c r="G99" s="3" t="s">
        <v>18</v>
      </c>
      <c r="H99" t="s">
        <v>19</v>
      </c>
      <c r="I99" s="4" t="s">
        <v>661</v>
      </c>
      <c r="J99" s="4" t="s">
        <v>662</v>
      </c>
      <c r="K99" s="5" t="s">
        <v>663</v>
      </c>
      <c r="L99" s="5" t="s">
        <v>664</v>
      </c>
      <c r="M99" s="6">
        <v>2E-3</v>
      </c>
      <c r="N99" s="6">
        <f t="shared" si="1"/>
        <v>0.02</v>
      </c>
    </row>
    <row r="100" spans="1:14" ht="89.25" x14ac:dyDescent="0.25">
      <c r="A100" s="3">
        <v>4</v>
      </c>
      <c r="B100" s="3" t="s">
        <v>665</v>
      </c>
      <c r="C100" s="3" t="s">
        <v>32</v>
      </c>
      <c r="D100" s="3" t="s">
        <v>666</v>
      </c>
      <c r="E100" s="3" t="s">
        <v>667</v>
      </c>
      <c r="F100" s="3"/>
      <c r="G100" s="3"/>
      <c r="H100" t="s">
        <v>19</v>
      </c>
      <c r="I100" s="4" t="s">
        <v>668</v>
      </c>
      <c r="J100" s="4" t="s">
        <v>669</v>
      </c>
      <c r="K100" s="5" t="s">
        <v>670</v>
      </c>
      <c r="L100" s="5" t="s">
        <v>671</v>
      </c>
      <c r="M100" s="6">
        <v>1.6E-2</v>
      </c>
      <c r="N100" s="6">
        <f t="shared" si="1"/>
        <v>6.4000000000000001E-2</v>
      </c>
    </row>
    <row r="101" spans="1:14" x14ac:dyDescent="0.25">
      <c r="B101" s="1"/>
      <c r="C101" s="1"/>
      <c r="D101" s="1"/>
    </row>
    <row r="102" spans="1:14" ht="30" x14ac:dyDescent="0.25">
      <c r="C102" s="1"/>
      <c r="D102" s="1"/>
      <c r="M102" s="10" t="s">
        <v>672</v>
      </c>
      <c r="N102" s="11">
        <f>SUM(N2:N101)</f>
        <v>2008.0559999999998</v>
      </c>
    </row>
    <row r="103" spans="1:14" x14ac:dyDescent="0.25">
      <c r="D103" s="1"/>
    </row>
  </sheetData>
  <autoFilter ref="A1:H107" xr:uid="{00000000-0009-0000-0000-000000000000}"/>
  <pageMargins left="1.64" right="1.64" top="1.91" bottom="1.91" header="0.5" footer="0.5"/>
  <pageSetup paperSize="3" fitToHeight="0" orientation="landscape"/>
  <headerFooter>
    <oddHeader>&amp;LCard: MAC&amp;CDrawing Number: UCP-330-25023_A 
 Unclassified&amp;RPage &amp;P of &amp;N</oddHeader>
    <oddFooter>&amp;LGenerated on &amp;D</oddFooter>
  </headerFooter>
</worksheet>
</file>